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cottuser\Documents\SonetLumier\Input\Monday_excel\SLS_Ord_Pick\"/>
    </mc:Choice>
  </mc:AlternateContent>
  <xr:revisionPtr revIDLastSave="0" documentId="13_ncr:1_{D7502833-1609-4A1E-A496-5FE3C9A5C584}" xr6:coauthVersionLast="47" xr6:coauthVersionMax="47" xr10:uidLastSave="{00000000-0000-0000-0000-000000000000}"/>
  <bookViews>
    <workbookView xWindow="-28020" yWindow="780" windowWidth="26040" windowHeight="1102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 i="1" l="1"/>
  <c r="A26" i="1"/>
  <c r="H25" i="1"/>
  <c r="A25" i="1" s="1"/>
  <c r="H24" i="1"/>
  <c r="A24" i="1"/>
  <c r="H23" i="1"/>
  <c r="A23" i="1" s="1"/>
  <c r="H22" i="1"/>
  <c r="A22" i="1"/>
  <c r="H21" i="1"/>
  <c r="A21" i="1"/>
  <c r="H20" i="1"/>
  <c r="A20" i="1" s="1"/>
  <c r="H19" i="1"/>
  <c r="A19" i="1" s="1"/>
  <c r="H18" i="1"/>
  <c r="A18" i="1"/>
  <c r="H17" i="1"/>
  <c r="A17" i="1" s="1"/>
  <c r="H16" i="1"/>
  <c r="A16" i="1"/>
  <c r="H15" i="1"/>
  <c r="A15" i="1" s="1"/>
  <c r="H14" i="1"/>
  <c r="A14" i="1" s="1"/>
  <c r="H44" i="1"/>
  <c r="A44" i="1" s="1"/>
  <c r="H43" i="1"/>
  <c r="A43" i="1" s="1"/>
  <c r="H42" i="1"/>
  <c r="A42" i="1"/>
  <c r="H41" i="1"/>
  <c r="A41" i="1" s="1"/>
  <c r="H40" i="1"/>
  <c r="A40" i="1"/>
  <c r="H39" i="1"/>
  <c r="A39" i="1"/>
  <c r="H38" i="1"/>
  <c r="A38" i="1" s="1"/>
  <c r="H37" i="1"/>
  <c r="A37" i="1" s="1"/>
  <c r="H36" i="1"/>
  <c r="A36" i="1" s="1"/>
  <c r="H35" i="1"/>
  <c r="A35" i="1"/>
  <c r="H34" i="1"/>
  <c r="A34" i="1" s="1"/>
  <c r="H33" i="1"/>
  <c r="A33" i="1"/>
  <c r="H32" i="1"/>
  <c r="A32" i="1" s="1"/>
  <c r="H45" i="1"/>
  <c r="A45" i="1" s="1"/>
  <c r="H46" i="1"/>
  <c r="A46" i="1" s="1"/>
  <c r="A47" i="1"/>
  <c r="H3" i="1"/>
  <c r="A3" i="1" s="1"/>
  <c r="H4" i="1"/>
  <c r="A4" i="1" s="1"/>
  <c r="H5" i="1"/>
  <c r="A5" i="1" s="1"/>
  <c r="H6" i="1"/>
  <c r="A6" i="1" s="1"/>
  <c r="H7" i="1"/>
  <c r="A7" i="1" s="1"/>
  <c r="H8" i="1"/>
  <c r="A8" i="1" s="1"/>
  <c r="H9" i="1"/>
  <c r="A9" i="1" s="1"/>
  <c r="H10" i="1"/>
  <c r="A10" i="1" s="1"/>
  <c r="H11" i="1"/>
  <c r="A11" i="1" s="1"/>
  <c r="H12" i="1"/>
  <c r="A12" i="1" s="1"/>
  <c r="H13" i="1"/>
  <c r="A13" i="1" s="1"/>
  <c r="H27" i="1"/>
  <c r="A27" i="1" s="1"/>
  <c r="H28" i="1"/>
  <c r="A28" i="1" s="1"/>
  <c r="H29" i="1"/>
  <c r="A29" i="1" s="1"/>
  <c r="H30" i="1"/>
  <c r="A30" i="1" s="1"/>
  <c r="H31" i="1"/>
  <c r="A31" i="1" s="1"/>
  <c r="H2" i="1"/>
  <c r="A2" i="1" s="1"/>
</calcChain>
</file>

<file path=xl/sharedStrings.xml><?xml version="1.0" encoding="utf-8"?>
<sst xmlns="http://schemas.openxmlformats.org/spreadsheetml/2006/main" count="74" uniqueCount="74">
  <si>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</si>
  <si>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</si>
  <si>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</si>
  <si>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</si>
  <si>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support._x000B_Thank you for investing your time in training. Your commitment to learning and improvement is an important part of keeping Scott Electric strong, responsive, and customer-focused.</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</si>
  <si>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</si>
  <si>
    <t xml:space="preserve">this deck of slides or pictures is the quote to order process which is part of quote to cash Work Flow </t>
  </si>
  <si>
    <t>Code</t>
  </si>
  <si>
    <t>S000. Opening Slide for Sales Order Line Entry Deck</t>
  </si>
  <si>
    <t>S002.  Quote to Cash Work Flow At SE Electrical Distribution</t>
  </si>
  <si>
    <t>S003.  Pictorial representation of  Quote to Cash  - At SE Electrical Distribution</t>
  </si>
  <si>
    <t xml:space="preserve">remember there are atleast 3 way to do something in Infor - the question which makes sense for the business and task at hand </t>
  </si>
  <si>
    <t xml:space="preserve">For each method write a words on what this leans best for and a disclaimer that each user can choose their own way </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</si>
  <si>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</si>
  <si>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</si>
  <si>
    <t xml:space="preserve">used for creation only </t>
  </si>
  <si>
    <t xml:space="preserve">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t>
  </si>
  <si>
    <t>C:\Users\scottuser\Documents\SonetLumier\Input\SE_SLS_Enter_line_Opt2_112025_1211.pptx</t>
  </si>
  <si>
    <t>M1.  Sales Order  to Pick SOP - At SE Electrical Distribution</t>
  </si>
  <si>
    <t xml:space="preserve">This is the master slide for the Order to Pick process within the Quote to Cash Work Flow. It should be noted that these steps are performed by the Sales Personnel. The input to this starts when the customer indicates that they are ready accept a previously given quote or they send us a Purchase Order (PO) or they call into our sales force who always eager to assist them, the next step is S1. Where the sales person initiates / creates a new slaes order by going to the menu, selecting sales , entry and sales order </t>
  </si>
  <si>
    <t>S1. Initiate Sales order</t>
  </si>
  <si>
    <t>The first step in the process of initiating a sales order this then leads to the next step which is an SOP in its own right "Enter Sales Order SOP"</t>
  </si>
  <si>
    <t xml:space="preserve">S2. Enter Order Lines  </t>
  </si>
  <si>
    <t>This is a SOP in itself as there are many ways to enter lines in a sales order starting with easy line entry, Shopping list entry etc</t>
  </si>
  <si>
    <t xml:space="preserve">D1. No  “Add-on’s” </t>
  </si>
  <si>
    <t>Y1.  Yes - No Need  for “Add-on’s”</t>
  </si>
  <si>
    <t>Then decsion needs to be taken if this order or customer has any Add on charges etc that need to be processed at this time. The quest that is asked is Are their no Add on's a yes answer indicated that there are no add on and No answer indicates that there are add ons</t>
  </si>
  <si>
    <t xml:space="preserve">The user has Selected Yes to inidcate that there are no Add ons to be processed for this order </t>
  </si>
  <si>
    <t xml:space="preserve">S3. Review Taxes and Totals  </t>
  </si>
  <si>
    <t xml:space="preserve">Since all other information has been entered prior to this step it is time to check the totals and review the the Taxes </t>
  </si>
  <si>
    <t>D2. No COD tendering ?</t>
  </si>
  <si>
    <t>A decsion has to be made whether this order is to billed on Account or if there is situation that it would be tendered or on Cash on Delivery basis. Hence the question No COD or Tendering needs to be asked and answered. A yes would indicate that this is not a tendered or COD sale. A no on the other hand would indicate that this order has to be processed as a tendered or COD Sale.</t>
  </si>
  <si>
    <t>Y2. Yes “no COD Tendering”</t>
  </si>
  <si>
    <t xml:space="preserve">S4. Finish Sales Order </t>
  </si>
  <si>
    <t>D3. Is it a blanket or Fulfillment Order ? - Sales Order  to Pick SOP</t>
  </si>
  <si>
    <t>Y3. Yes, it is a Blanket or Fulfillment Order  - Sales Order  to Pick SOP</t>
  </si>
  <si>
    <t>S5. Create Blanket or Fulfillment Order  - Sales Order  to Pick SOP</t>
  </si>
  <si>
    <t>D4. Sales order on hold ? - Sales Order  to Pick SOP</t>
  </si>
  <si>
    <t>Y4. Sales Order is on Hold - Sales Order  to Pick SOP</t>
  </si>
  <si>
    <t>S6. Notification sent to Credit - Sales Order  to Pick SOP</t>
  </si>
  <si>
    <t>D5. Was Credit Restored or COD or CC accepted? - Sales Order  to Pick SOP</t>
  </si>
  <si>
    <t>Y5.  Yes,  Credit Restored or COD or CC  was accepted? - Sales Order  to Pick SOP</t>
  </si>
  <si>
    <t>S7. Print Customer Acknowledgement and Pick Ticket - Sales Order  to Pick SOP</t>
  </si>
  <si>
    <t>S8. Proceed to the Pick to Invoice SOP - Sales Order  to Pick SOP</t>
  </si>
  <si>
    <t>N5. No Customer did not take any of the options presented- Sales Order  to Pick SOP</t>
  </si>
  <si>
    <t>S9. Cancel order inform Sales and update Reason code - Sales Order  to Pick SOP</t>
  </si>
  <si>
    <t>N4. No, Sales order is not on hold - Sales Order  to Pick SOP</t>
  </si>
  <si>
    <t>N3. No, Not a Blanket or Fulfillment Order- Sales Order  to Pick SOP</t>
  </si>
  <si>
    <t>N2. No, This is a COD or Tendering Order - Sales Order  to Pick SOP</t>
  </si>
  <si>
    <t>S10. Collect Payment via CC or other - Sales Order  to Pick SOP</t>
  </si>
  <si>
    <t>N1. No, There are “Add on” to add  - Sales Order  to Pick SOP</t>
  </si>
  <si>
    <t>S11. Add Add-on’s to the Sales order - Sales Order  to Pick SOP</t>
  </si>
  <si>
    <t>S999. You have successfully completed this SOP</t>
  </si>
  <si>
    <t xml:space="preserve"> Finish Sales Order </t>
  </si>
  <si>
    <t xml:space="preserve"> Yes “no COD Tendering”</t>
  </si>
  <si>
    <t>Decision if this is a blanket or Fullfillment order</t>
  </si>
  <si>
    <t>Yes this is a fullfillment order</t>
  </si>
  <si>
    <t>Create Blanket or Fulillment order</t>
  </si>
  <si>
    <t>Is the sale order on hold</t>
  </si>
  <si>
    <t xml:space="preserve">Yes sales order is on hold </t>
  </si>
  <si>
    <t xml:space="preserve">Notify credit department to talk to customer and take action </t>
  </si>
  <si>
    <t>Was credit restored ?</t>
  </si>
  <si>
    <t>Yes credit was was restored or COD or Cc terms were accepted by Customer for this order</t>
  </si>
  <si>
    <t>Print customer Acknowledgement and Pick ticket</t>
  </si>
  <si>
    <t xml:space="preserve">Proceed to pick to Invoice SOP </t>
  </si>
  <si>
    <t xml:space="preserve">No customer did not take any options presented </t>
  </si>
  <si>
    <t xml:space="preserve">Cancel order </t>
  </si>
  <si>
    <t xml:space="preserve">No sales order is not on hold </t>
  </si>
  <si>
    <t xml:space="preserve">No this is not a blanket or fulfillment order </t>
  </si>
  <si>
    <t>This is a COD or tendering order</t>
  </si>
  <si>
    <t xml:space="preserve">Collect payment </t>
  </si>
  <si>
    <t>No there are Add on's that must entered now</t>
  </si>
  <si>
    <t>Add "Add ons"</t>
  </si>
  <si>
    <t>You have successfully completed the module Order to pick SOP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</si>
</sst>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rgb="FF000000"/>
      <name val="Calibri"/>
      <family val="2"/>
      <scheme val="minor"/>
    </font>
    <font>
      <b/>
      <sz val="14"/>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vertical="center" readingOrder="1"/>
    </xf>
    <xf numFmtId="0" fontId="2" fillId="0" borderId="0" xfId="0" applyFont="1"/>
    <xf numFmtId="0" fontId="0" fillId="0" borderId="1" xfId="0" applyBorder="1" applyAlignment="1">
      <alignment vertical="top"/>
    </xf>
    <xf numFmtId="0" fontId="3" fillId="0" borderId="0" xfId="0" applyFont="1" applyAlignment="1">
      <alignment horizontal="center" vertical="center" readingOrder="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
  <sheetViews>
    <sheetView tabSelected="1" topLeftCell="A15" workbookViewId="0">
      <selection activeCell="C34" sqref="C34"/>
    </sheetView>
  </sheetViews>
  <sheetFormatPr defaultRowHeight="15" x14ac:dyDescent="0.25"/>
  <cols>
    <col min="2" max="2" width="81.7109375" customWidth="1"/>
    <col min="3" max="3" width="97.42578125" customWidth="1"/>
    <col min="4" max="4" width="46" customWidth="1"/>
  </cols>
  <sheetData>
    <row r="1" spans="1:8" x14ac:dyDescent="0.25">
      <c r="A1" t="s">
        <v>7</v>
      </c>
      <c r="B1" s="5" t="s">
        <v>0</v>
      </c>
      <c r="C1" s="1" t="s">
        <v>1</v>
      </c>
      <c r="D1" s="1" t="s">
        <v>2</v>
      </c>
      <c r="H1" t="s">
        <v>15</v>
      </c>
    </row>
    <row r="2" spans="1:8" ht="18.75" x14ac:dyDescent="0.25">
      <c r="A2" t="str">
        <f>H2</f>
        <v>S000</v>
      </c>
      <c r="B2" s="3" t="s">
        <v>8</v>
      </c>
      <c r="C2" t="s">
        <v>6</v>
      </c>
      <c r="H2" t="str">
        <f>IF(B2="","",(LEFT(B2,((FIND(".",B2,1))-1))))</f>
        <v>S000</v>
      </c>
    </row>
    <row r="3" spans="1:8" ht="18.75" x14ac:dyDescent="0.3">
      <c r="A3" t="str">
        <f t="shared" ref="A3:A47" si="0">H3</f>
        <v>S001</v>
      </c>
      <c r="B3" s="4" t="s">
        <v>3</v>
      </c>
      <c r="C3" t="s">
        <v>4</v>
      </c>
      <c r="H3" t="str">
        <f t="shared" ref="H3:H46" si="1">IF(B3="","",(LEFT(B3,((FIND(".",B3,1))-1))))</f>
        <v>S001</v>
      </c>
    </row>
    <row r="4" spans="1:8" ht="18.75" x14ac:dyDescent="0.25">
      <c r="A4" t="str">
        <f t="shared" si="0"/>
        <v>S002</v>
      </c>
      <c r="B4" s="3" t="s">
        <v>9</v>
      </c>
      <c r="C4" t="s">
        <v>16</v>
      </c>
      <c r="H4" t="str">
        <f t="shared" si="1"/>
        <v>S002</v>
      </c>
    </row>
    <row r="5" spans="1:8" ht="18.75" customHeight="1" x14ac:dyDescent="0.25">
      <c r="A5" t="str">
        <f t="shared" si="0"/>
        <v>S003</v>
      </c>
      <c r="B5" s="3" t="s">
        <v>10</v>
      </c>
      <c r="C5" s="2" t="s">
        <v>5</v>
      </c>
      <c r="H5" t="str">
        <f t="shared" si="1"/>
        <v>S003</v>
      </c>
    </row>
    <row r="6" spans="1:8" ht="18.75" x14ac:dyDescent="0.25">
      <c r="A6" t="str">
        <f t="shared" si="0"/>
        <v>M1</v>
      </c>
      <c r="B6" s="6" t="s">
        <v>18</v>
      </c>
      <c r="C6" t="s">
        <v>19</v>
      </c>
      <c r="H6" t="str">
        <f t="shared" si="1"/>
        <v>M1</v>
      </c>
    </row>
    <row r="7" spans="1:8" ht="18.75" x14ac:dyDescent="0.3">
      <c r="A7" t="str">
        <f t="shared" si="0"/>
        <v>S1</v>
      </c>
      <c r="B7" s="7" t="s">
        <v>20</v>
      </c>
      <c r="C7" t="s">
        <v>21</v>
      </c>
      <c r="H7" t="str">
        <f t="shared" si="1"/>
        <v>S1</v>
      </c>
    </row>
    <row r="8" spans="1:8" ht="18.75" x14ac:dyDescent="0.3">
      <c r="A8" t="str">
        <f t="shared" si="0"/>
        <v>S2</v>
      </c>
      <c r="B8" s="7" t="s">
        <v>22</v>
      </c>
      <c r="C8" t="s">
        <v>23</v>
      </c>
      <c r="H8" t="str">
        <f t="shared" si="1"/>
        <v>S2</v>
      </c>
    </row>
    <row r="9" spans="1:8" ht="18.75" x14ac:dyDescent="0.3">
      <c r="A9" t="str">
        <f t="shared" si="0"/>
        <v>D1</v>
      </c>
      <c r="B9" s="7" t="s">
        <v>24</v>
      </c>
      <c r="C9" t="s">
        <v>26</v>
      </c>
      <c r="H9" t="str">
        <f t="shared" si="1"/>
        <v>D1</v>
      </c>
    </row>
    <row r="10" spans="1:8" ht="18.75" x14ac:dyDescent="0.3">
      <c r="A10" t="str">
        <f t="shared" si="0"/>
        <v>Y1</v>
      </c>
      <c r="B10" s="7" t="s">
        <v>25</v>
      </c>
      <c r="C10" t="s">
        <v>27</v>
      </c>
      <c r="H10" t="str">
        <f t="shared" si="1"/>
        <v>Y1</v>
      </c>
    </row>
    <row r="11" spans="1:8" ht="18.75" x14ac:dyDescent="0.3">
      <c r="A11" t="str">
        <f t="shared" si="0"/>
        <v>S3</v>
      </c>
      <c r="B11" s="7" t="s">
        <v>28</v>
      </c>
      <c r="C11" t="s">
        <v>29</v>
      </c>
      <c r="H11" t="str">
        <f t="shared" si="1"/>
        <v>S3</v>
      </c>
    </row>
    <row r="12" spans="1:8" ht="18.75" x14ac:dyDescent="0.3">
      <c r="A12" t="str">
        <f t="shared" si="0"/>
        <v>D2</v>
      </c>
      <c r="B12" s="7" t="s">
        <v>30</v>
      </c>
      <c r="C12" t="s">
        <v>31</v>
      </c>
      <c r="H12" t="str">
        <f t="shared" si="1"/>
        <v>D2</v>
      </c>
    </row>
    <row r="13" spans="1:8" ht="18.75" x14ac:dyDescent="0.3">
      <c r="A13" t="str">
        <f t="shared" si="0"/>
        <v>Y2</v>
      </c>
      <c r="B13" s="7" t="s">
        <v>32</v>
      </c>
      <c r="C13" t="s">
        <v>54</v>
      </c>
      <c r="H13" t="str">
        <f t="shared" si="1"/>
        <v>Y2</v>
      </c>
    </row>
    <row r="14" spans="1:8" ht="18.75" x14ac:dyDescent="0.3">
      <c r="A14" t="str">
        <f t="shared" si="0"/>
        <v>S4</v>
      </c>
      <c r="B14" s="7" t="s">
        <v>33</v>
      </c>
      <c r="C14" t="s">
        <v>53</v>
      </c>
      <c r="H14" t="str">
        <f t="shared" si="1"/>
        <v>S4</v>
      </c>
    </row>
    <row r="15" spans="1:8" x14ac:dyDescent="0.25">
      <c r="A15" t="str">
        <f t="shared" si="0"/>
        <v>D3</v>
      </c>
      <c r="B15" t="s">
        <v>34</v>
      </c>
      <c r="C15" t="s">
        <v>55</v>
      </c>
      <c r="H15" t="str">
        <f t="shared" si="1"/>
        <v>D3</v>
      </c>
    </row>
    <row r="16" spans="1:8" x14ac:dyDescent="0.25">
      <c r="A16" t="str">
        <f t="shared" si="0"/>
        <v>Y3</v>
      </c>
      <c r="B16" t="s">
        <v>35</v>
      </c>
      <c r="C16" t="s">
        <v>56</v>
      </c>
      <c r="H16" t="str">
        <f t="shared" si="1"/>
        <v>Y3</v>
      </c>
    </row>
    <row r="17" spans="1:8" x14ac:dyDescent="0.25">
      <c r="A17" t="str">
        <f t="shared" si="0"/>
        <v>S5</v>
      </c>
      <c r="B17" t="s">
        <v>36</v>
      </c>
      <c r="C17" t="s">
        <v>57</v>
      </c>
      <c r="H17" t="str">
        <f t="shared" si="1"/>
        <v>S5</v>
      </c>
    </row>
    <row r="18" spans="1:8" x14ac:dyDescent="0.25">
      <c r="A18" t="str">
        <f t="shared" si="0"/>
        <v>D4</v>
      </c>
      <c r="B18" t="s">
        <v>37</v>
      </c>
      <c r="C18" s="2" t="s">
        <v>58</v>
      </c>
      <c r="H18" t="str">
        <f t="shared" si="1"/>
        <v>D4</v>
      </c>
    </row>
    <row r="19" spans="1:8" x14ac:dyDescent="0.25">
      <c r="A19" t="str">
        <f t="shared" si="0"/>
        <v>Y4</v>
      </c>
      <c r="B19" t="s">
        <v>38</v>
      </c>
      <c r="C19" t="s">
        <v>59</v>
      </c>
      <c r="H19" t="str">
        <f t="shared" si="1"/>
        <v>Y4</v>
      </c>
    </row>
    <row r="20" spans="1:8" x14ac:dyDescent="0.25">
      <c r="A20" t="str">
        <f t="shared" si="0"/>
        <v>S6</v>
      </c>
      <c r="B20" t="s">
        <v>39</v>
      </c>
      <c r="C20" t="s">
        <v>60</v>
      </c>
      <c r="H20" t="str">
        <f t="shared" si="1"/>
        <v>S6</v>
      </c>
    </row>
    <row r="21" spans="1:8" x14ac:dyDescent="0.25">
      <c r="A21" t="str">
        <f t="shared" si="0"/>
        <v>D5</v>
      </c>
      <c r="B21" t="s">
        <v>40</v>
      </c>
      <c r="C21" t="s">
        <v>61</v>
      </c>
      <c r="H21" t="str">
        <f t="shared" si="1"/>
        <v>D5</v>
      </c>
    </row>
    <row r="22" spans="1:8" x14ac:dyDescent="0.25">
      <c r="A22" t="str">
        <f t="shared" si="0"/>
        <v>Y5</v>
      </c>
      <c r="B22" t="s">
        <v>41</v>
      </c>
      <c r="C22" t="s">
        <v>62</v>
      </c>
      <c r="H22" t="str">
        <f t="shared" si="1"/>
        <v>Y5</v>
      </c>
    </row>
    <row r="23" spans="1:8" x14ac:dyDescent="0.25">
      <c r="A23" t="str">
        <f t="shared" si="0"/>
        <v>S7</v>
      </c>
      <c r="B23" t="s">
        <v>42</v>
      </c>
      <c r="C23" t="s">
        <v>63</v>
      </c>
      <c r="H23" t="str">
        <f t="shared" si="1"/>
        <v>S7</v>
      </c>
    </row>
    <row r="24" spans="1:8" x14ac:dyDescent="0.25">
      <c r="A24" t="str">
        <f t="shared" si="0"/>
        <v>S8</v>
      </c>
      <c r="B24" t="s">
        <v>43</v>
      </c>
      <c r="C24" t="s">
        <v>64</v>
      </c>
      <c r="H24" t="str">
        <f t="shared" si="1"/>
        <v>S8</v>
      </c>
    </row>
    <row r="25" spans="1:8" x14ac:dyDescent="0.25">
      <c r="A25" t="str">
        <f t="shared" si="0"/>
        <v>N5</v>
      </c>
      <c r="B25" t="s">
        <v>44</v>
      </c>
      <c r="C25" t="s">
        <v>65</v>
      </c>
      <c r="H25" t="str">
        <f t="shared" si="1"/>
        <v>N5</v>
      </c>
    </row>
    <row r="26" spans="1:8" x14ac:dyDescent="0.25">
      <c r="A26" t="str">
        <f t="shared" si="0"/>
        <v>S9</v>
      </c>
      <c r="B26" t="s">
        <v>45</v>
      </c>
      <c r="C26" t="s">
        <v>66</v>
      </c>
      <c r="H26" t="str">
        <f t="shared" si="1"/>
        <v>S9</v>
      </c>
    </row>
    <row r="27" spans="1:8" x14ac:dyDescent="0.25">
      <c r="A27" t="str">
        <f t="shared" si="0"/>
        <v>N4</v>
      </c>
      <c r="B27" t="s">
        <v>46</v>
      </c>
      <c r="C27" t="s">
        <v>67</v>
      </c>
      <c r="H27" t="str">
        <f t="shared" si="1"/>
        <v>N4</v>
      </c>
    </row>
    <row r="28" spans="1:8" x14ac:dyDescent="0.25">
      <c r="A28" t="str">
        <f t="shared" si="0"/>
        <v>N3</v>
      </c>
      <c r="B28" t="s">
        <v>47</v>
      </c>
      <c r="C28" t="s">
        <v>68</v>
      </c>
      <c r="H28" t="str">
        <f t="shared" si="1"/>
        <v>N3</v>
      </c>
    </row>
    <row r="29" spans="1:8" x14ac:dyDescent="0.25">
      <c r="A29" t="str">
        <f t="shared" si="0"/>
        <v>N2</v>
      </c>
      <c r="B29" t="s">
        <v>48</v>
      </c>
      <c r="C29" t="s">
        <v>69</v>
      </c>
      <c r="H29" t="str">
        <f t="shared" si="1"/>
        <v>N2</v>
      </c>
    </row>
    <row r="30" spans="1:8" x14ac:dyDescent="0.25">
      <c r="A30" t="str">
        <f t="shared" si="0"/>
        <v>S10</v>
      </c>
      <c r="B30" t="s">
        <v>49</v>
      </c>
      <c r="C30" t="s">
        <v>70</v>
      </c>
      <c r="H30" t="str">
        <f t="shared" si="1"/>
        <v>S10</v>
      </c>
    </row>
    <row r="31" spans="1:8" x14ac:dyDescent="0.25">
      <c r="A31" t="str">
        <f t="shared" si="0"/>
        <v>N1</v>
      </c>
      <c r="B31" t="s">
        <v>50</v>
      </c>
      <c r="C31" t="s">
        <v>71</v>
      </c>
      <c r="H31" t="str">
        <f t="shared" si="1"/>
        <v>N1</v>
      </c>
    </row>
    <row r="32" spans="1:8" x14ac:dyDescent="0.25">
      <c r="A32" t="str">
        <f t="shared" ref="A32:A44" si="2">H32</f>
        <v>S11</v>
      </c>
      <c r="B32" t="s">
        <v>51</v>
      </c>
      <c r="C32" t="s">
        <v>72</v>
      </c>
      <c r="H32" t="str">
        <f t="shared" ref="H32:H44" si="3">IF(B32="","",(LEFT(B32,((FIND(".",B32,1))-1))))</f>
        <v>S11</v>
      </c>
    </row>
    <row r="33" spans="1:8" x14ac:dyDescent="0.25">
      <c r="A33" t="str">
        <f t="shared" si="2"/>
        <v>S999</v>
      </c>
      <c r="B33" t="s">
        <v>52</v>
      </c>
      <c r="C33" t="s">
        <v>73</v>
      </c>
      <c r="H33" t="str">
        <f t="shared" si="3"/>
        <v>S999</v>
      </c>
    </row>
    <row r="34" spans="1:8" ht="18.75" x14ac:dyDescent="0.3">
      <c r="A34" t="str">
        <f t="shared" si="2"/>
        <v/>
      </c>
      <c r="B34" s="4"/>
      <c r="H34" t="str">
        <f t="shared" si="3"/>
        <v/>
      </c>
    </row>
    <row r="35" spans="1:8" ht="18.75" x14ac:dyDescent="0.3">
      <c r="A35" t="str">
        <f t="shared" si="2"/>
        <v/>
      </c>
      <c r="B35" s="4"/>
      <c r="H35" t="str">
        <f t="shared" si="3"/>
        <v/>
      </c>
    </row>
    <row r="36" spans="1:8" ht="18.75" x14ac:dyDescent="0.3">
      <c r="A36" t="str">
        <f t="shared" si="2"/>
        <v/>
      </c>
      <c r="B36" s="4"/>
      <c r="C36" s="2"/>
      <c r="H36" t="str">
        <f t="shared" si="3"/>
        <v/>
      </c>
    </row>
    <row r="37" spans="1:8" ht="18.75" x14ac:dyDescent="0.3">
      <c r="A37" t="str">
        <f t="shared" si="2"/>
        <v/>
      </c>
      <c r="B37" s="4"/>
      <c r="H37" t="str">
        <f t="shared" si="3"/>
        <v/>
      </c>
    </row>
    <row r="38" spans="1:8" ht="18.75" x14ac:dyDescent="0.3">
      <c r="A38" t="str">
        <f t="shared" si="2"/>
        <v/>
      </c>
      <c r="B38" s="4"/>
      <c r="H38" t="str">
        <f t="shared" si="3"/>
        <v/>
      </c>
    </row>
    <row r="39" spans="1:8" ht="18.75" x14ac:dyDescent="0.3">
      <c r="A39" t="str">
        <f t="shared" si="2"/>
        <v/>
      </c>
      <c r="B39" s="4"/>
      <c r="H39" t="str">
        <f t="shared" si="3"/>
        <v/>
      </c>
    </row>
    <row r="40" spans="1:8" ht="18.75" x14ac:dyDescent="0.3">
      <c r="A40" t="str">
        <f t="shared" si="2"/>
        <v/>
      </c>
      <c r="B40" s="4"/>
      <c r="H40" t="str">
        <f t="shared" si="3"/>
        <v/>
      </c>
    </row>
    <row r="41" spans="1:8" ht="18.75" x14ac:dyDescent="0.3">
      <c r="A41" t="str">
        <f t="shared" si="2"/>
        <v/>
      </c>
      <c r="B41" s="4"/>
      <c r="H41" t="str">
        <f t="shared" si="3"/>
        <v/>
      </c>
    </row>
    <row r="42" spans="1:8" ht="18.75" x14ac:dyDescent="0.3">
      <c r="A42" t="str">
        <f t="shared" si="2"/>
        <v/>
      </c>
      <c r="B42" s="4"/>
      <c r="H42" t="str">
        <f t="shared" si="3"/>
        <v/>
      </c>
    </row>
    <row r="43" spans="1:8" ht="18.75" x14ac:dyDescent="0.3">
      <c r="A43" t="str">
        <f t="shared" si="2"/>
        <v/>
      </c>
      <c r="B43" s="4"/>
      <c r="H43" t="str">
        <f t="shared" si="3"/>
        <v/>
      </c>
    </row>
    <row r="44" spans="1:8" ht="18.75" x14ac:dyDescent="0.3">
      <c r="A44" t="str">
        <f t="shared" si="2"/>
        <v/>
      </c>
      <c r="B44" s="4"/>
      <c r="H44" t="str">
        <f t="shared" si="3"/>
        <v/>
      </c>
    </row>
    <row r="45" spans="1:8" ht="18.75" x14ac:dyDescent="0.3">
      <c r="A45" t="str">
        <f t="shared" ref="A45" si="4">H45</f>
        <v/>
      </c>
      <c r="B45" s="4"/>
      <c r="H45" t="str">
        <f t="shared" ref="H45" si="5">IF(B45="","",(LEFT(B45,((FIND(".",B45,1))-1))))</f>
        <v/>
      </c>
    </row>
    <row r="46" spans="1:8" ht="18.75" x14ac:dyDescent="0.25">
      <c r="A46" t="str">
        <f t="shared" si="0"/>
        <v>S999</v>
      </c>
      <c r="B46" s="3" t="s">
        <v>13</v>
      </c>
      <c r="C46" t="s">
        <v>14</v>
      </c>
      <c r="H46" t="str">
        <f t="shared" si="1"/>
        <v>S999</v>
      </c>
    </row>
    <row r="47" spans="1:8" ht="18.75" x14ac:dyDescent="0.3">
      <c r="A47">
        <f t="shared" si="0"/>
        <v>0</v>
      </c>
      <c r="B47" s="4"/>
    </row>
    <row r="48" spans="1:8" ht="30.75" x14ac:dyDescent="0.3">
      <c r="B48" s="4"/>
      <c r="C48" s="2" t="s">
        <v>11</v>
      </c>
    </row>
    <row r="49" spans="2:3" ht="18.75" x14ac:dyDescent="0.3">
      <c r="B49" s="4"/>
      <c r="C49" t="s">
        <v>12</v>
      </c>
    </row>
    <row r="50" spans="2:3" ht="18.75" x14ac:dyDescent="0.3">
      <c r="B50" s="4"/>
      <c r="C50" t="s">
        <v>17</v>
      </c>
    </row>
    <row r="51" spans="2:3" ht="18.75" x14ac:dyDescent="0.3">
      <c r="B51" s="4"/>
    </row>
    <row r="52" spans="2:3" ht="18.75" x14ac:dyDescent="0.3">
      <c r="B52" s="4"/>
    </row>
    <row r="54" spans="2:3" ht="18.75" x14ac:dyDescent="0.3">
      <c r="B54" s="4"/>
    </row>
    <row r="55" spans="2:3" ht="16.5" customHeight="1" x14ac:dyDescent="0.3">
      <c r="B55" s="4"/>
    </row>
    <row r="56" spans="2:3" ht="18.75" x14ac:dyDescent="0.3">
      <c r="B56" s="4"/>
    </row>
    <row r="57" spans="2:3" ht="18.75" x14ac:dyDescent="0.3">
      <c r="B57" s="4"/>
    </row>
    <row r="58" spans="2:3" ht="18.75" x14ac:dyDescent="0.3">
      <c r="B58" s="4"/>
    </row>
    <row r="59" spans="2:3" ht="18.75" x14ac:dyDescent="0.25">
      <c r="B59" s="3"/>
    </row>
    <row r="60" spans="2:3" ht="18.75" x14ac:dyDescent="0.3">
      <c r="B60" s="4"/>
    </row>
    <row r="61" spans="2:3" ht="18.75" x14ac:dyDescent="0.3">
      <c r="B61" s="4"/>
    </row>
    <row r="62" spans="2:3" ht="18.75" x14ac:dyDescent="0.3">
      <c r="B62" s="4"/>
    </row>
    <row r="63" spans="2:3" ht="18.75" x14ac:dyDescent="0.3">
      <c r="B63" s="4"/>
    </row>
  </sheetData>
  <sortState xmlns:xlrd2="http://schemas.microsoft.com/office/spreadsheetml/2017/richdata2" ref="A2:D63">
    <sortCondition ref="A2:A6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gbg106</dc:creator>
  <cp:lastModifiedBy>Subi R</cp:lastModifiedBy>
  <dcterms:created xsi:type="dcterms:W3CDTF">2025-11-15T22:14:14Z</dcterms:created>
  <dcterms:modified xsi:type="dcterms:W3CDTF">2025-11-23T22:35:50Z</dcterms:modified>
</cp:coreProperties>
</file>