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cottuser\Documents\SonetLumier\Input\Monday_excel\OPS_Pick_2_Inv\"/>
    </mc:Choice>
  </mc:AlternateContent>
  <xr:revisionPtr revIDLastSave="0" documentId="13_ncr:1_{BE3DDC71-2ABA-4FE2-B270-20D06B738DCD}" xr6:coauthVersionLast="47" xr6:coauthVersionMax="47" xr10:uidLastSave="{00000000-0000-0000-0000-000000000000}"/>
  <bookViews>
    <workbookView xWindow="-28050" yWindow="1740" windowWidth="26040" windowHeight="13095" xr2:uid="{00000000-000D-0000-FFFF-FFFF00000000}"/>
  </bookViews>
  <sheets>
    <sheet name="Sheet1" sheetId="1" r:id="rId1"/>
  </sheets>
  <definedNames>
    <definedName name="_xlnm._FilterDatabase" localSheetId="0" hidden="1">Sheet1!$A$1:$H$43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6" i="1" l="1"/>
  <c r="A26" i="1" s="1"/>
  <c r="H3" i="1"/>
  <c r="A3" i="1" s="1"/>
  <c r="H4" i="1"/>
  <c r="A4" i="1" s="1"/>
  <c r="H5" i="1"/>
  <c r="A5" i="1" s="1"/>
  <c r="H6" i="1"/>
  <c r="A6" i="1" s="1"/>
  <c r="H7" i="1"/>
  <c r="A7" i="1" s="1"/>
  <c r="H8" i="1"/>
  <c r="A8" i="1" s="1"/>
  <c r="H9" i="1"/>
  <c r="A9" i="1" s="1"/>
  <c r="H10" i="1"/>
  <c r="A10" i="1" s="1"/>
  <c r="H11" i="1"/>
  <c r="A11" i="1" s="1"/>
  <c r="H12" i="1"/>
  <c r="A12" i="1" s="1"/>
  <c r="H13" i="1"/>
  <c r="A13" i="1" s="1"/>
  <c r="H14" i="1"/>
  <c r="A14" i="1" s="1"/>
  <c r="H15" i="1"/>
  <c r="A15" i="1" s="1"/>
  <c r="H16" i="1"/>
  <c r="A16" i="1" s="1"/>
  <c r="H17" i="1"/>
  <c r="A17" i="1" s="1"/>
  <c r="H18" i="1"/>
  <c r="A18" i="1" s="1"/>
  <c r="H19" i="1"/>
  <c r="A19" i="1" s="1"/>
  <c r="H20" i="1"/>
  <c r="A20" i="1" s="1"/>
  <c r="H21" i="1"/>
  <c r="A21" i="1" s="1"/>
  <c r="H22" i="1"/>
  <c r="A22" i="1" s="1"/>
  <c r="H23" i="1"/>
  <c r="A23" i="1" s="1"/>
  <c r="H24" i="1"/>
  <c r="A24" i="1" s="1"/>
  <c r="H25" i="1"/>
  <c r="A25" i="1" s="1"/>
  <c r="H2" i="1"/>
  <c r="A2" i="1" s="1"/>
</calcChain>
</file>

<file path=xl/sharedStrings.xml><?xml version="1.0" encoding="utf-8"?>
<sst xmlns="http://schemas.openxmlformats.org/spreadsheetml/2006/main" count="66" uniqueCount="64">
  <si>
    <t>Task Description</t>
  </si>
  <si>
    <t>What</t>
  </si>
  <si>
    <t>Considerations</t>
  </si>
  <si>
    <t>S001. About Scott Electric and Welcome to Training</t>
  </si>
  <si>
    <t>Scott Electric is a leading independent wholesale electrical distributor, serving electrical, mechanical, and general contractors, industrial customers, government agencies, and retail partners. The company provides a broad range of electrical products, lighting, tools, and related services to support both day-to-day operations and long-term projects.
Welcome to the Scott Electric Training Site_x000B_Welcome to the Scott Electric Training Site. This platform is designed to help you build the knowledge and skills needed to support our customers safely, accurately, and efficiently. Here you will find guided learning, reference materials, and role-based courses aligned with how we work every day — in sales, operations, service, administration, and support._x000B_Thank you for investing your time in training. Your commitment to learning and improvement is an important part of keeping Scott Electric strong, responsive, and customer-focused.</t>
  </si>
  <si>
    <t xml:space="preserve">This slide is aptly named The Pictorial Representation of Quote to Cash at Scott Electric the distribution business 
While this light is the precursor to the focused area of Quote to cache the picture shows how the various phases within that task is directly or indirectly affecting other components within the system for example an inventory is consumed the inventory has to be replenished and that is done by the procure to pay cycle Similarly because a sales occurred there has to be accounting for the sale and also at the end of the day collection of the payment against the invoice so hence that goes into the financial side of the impact now because inventory is being both consumed replenished and in some cases being procured and directly shipped to the customer that has a direct impact on how the inventory is managed within the system </t>
  </si>
  <si>
    <t xml:space="preserve">this deck of slides or pictures is the quote to order process which is part of quote to cash Work Flow </t>
  </si>
  <si>
    <t>Code</t>
  </si>
  <si>
    <t>S000. Opening Slide for Sales Order Line Entry Deck</t>
  </si>
  <si>
    <t>S002.  Quote to Cash Work Flow At SE Electrical Distribution</t>
  </si>
  <si>
    <t>S003.  Pictorial representation of  Quote to Cash  - At SE Electrical Distribution</t>
  </si>
  <si>
    <t xml:space="preserve">remember there are atleast 3 way to do something in Infor - the question which makes sense for the business and task at hand </t>
  </si>
  <si>
    <t xml:space="preserve">For each method write a words on what this leans best for and a disclaimer that each user can choose their own way </t>
  </si>
  <si>
    <t xml:space="preserve">S999. You have successfully completed this SOP </t>
  </si>
  <si>
    <t xml:space="preserve">Congratulations you have now traversed all the possible paths for this SOP of port to sales order While it is good that you've traversed all the paths what you need to do is to practice and become efficient and be able to translate your current work to the new system Have a nice day </t>
  </si>
  <si>
    <t xml:space="preserve">used for creation only </t>
  </si>
  <si>
    <t xml:space="preserve">This site is a typical Quote to cache representation in what is called a workflow This outlines the various steps performed by various swim lanes if you will or functional groups and provides a overall picture of how we end up serving our customers and continuing to keep our creed of customer comes first </t>
  </si>
  <si>
    <t>C:\Users\scottuser\Documents\SonetLumier\Input\SE_SLS_Enter_line_Opt2_112025_1211.pptx</t>
  </si>
  <si>
    <t>M1.  Pick to Invoice Process  - At SE Electrical Distribution</t>
  </si>
  <si>
    <t xml:space="preserve">S1. Pick ticket printed at Warehouse- </t>
  </si>
  <si>
    <t xml:space="preserve">S2. Order Picked and Staged </t>
  </si>
  <si>
    <t xml:space="preserve">S3. Verification and Packing (confirm ordered vs Shipped)- </t>
  </si>
  <si>
    <t xml:space="preserve">Y1. Yes, There is no difference between Qty ordered and Qty  being shipped- </t>
  </si>
  <si>
    <t xml:space="preserve">S4. Shipping feedback with no change paper work in separate bin - </t>
  </si>
  <si>
    <t xml:space="preserve">D2. Decision Is Delivery Confirmation Required  </t>
  </si>
  <si>
    <t>Y2. Yes, confirmation is not required</t>
  </si>
  <si>
    <t xml:space="preserve">S5. Customer Pickup or UPS Dispatch </t>
  </si>
  <si>
    <t xml:space="preserve">S6. Run Pre-Invoice Exception report </t>
  </si>
  <si>
    <t xml:space="preserve">D3. Was everything OK on the Invoicing exception report </t>
  </si>
  <si>
    <t xml:space="preserve">S7. Run Invoice processing  </t>
  </si>
  <si>
    <t xml:space="preserve">S8. Go To Invoice to Cash Major SOP </t>
  </si>
  <si>
    <t xml:space="preserve">N3. No some exceptions were noted- </t>
  </si>
  <si>
    <t xml:space="preserve">S9. Review and take appropriate action </t>
  </si>
  <si>
    <t xml:space="preserve">S10. DQT Provides Delivery Confirmation  </t>
  </si>
  <si>
    <t xml:space="preserve">N1. No, Order Qty or a whole line needs to be adjusted </t>
  </si>
  <si>
    <t xml:space="preserve">S11. Shipping feed needs to completed on this order </t>
  </si>
  <si>
    <t>UAP_Label</t>
  </si>
  <si>
    <t>UAP_URL</t>
  </si>
  <si>
    <t xml:space="preserve">The checkers or verifiers take the picked content and verify the actual material against the Order then compare to what was on the picked report </t>
  </si>
  <si>
    <t xml:space="preserve">This is needed only if there is a difference between the quantity picked / checked and wordered, this step creates a back order for the remaining quantity </t>
  </si>
  <si>
    <t>If the customer has indicated that the order would be  picked up in person  or if this is a ship via Ups order then this process is followed</t>
  </si>
  <si>
    <t>The pre invoice and exception report Function acronym: OERX
Use this report to review and correct invoice processing exceptions for sales orders before you run the Sales Entry Invoice Processing Report at the end of each day.
The Sales Pre-Invoice Exceptions Report uses the same logic as Sales Entry Invoice Processing Report, but files are not updated. It also reviews each sales order to capture all exceptions that would prevent the sales order from being invoiced. You can view and resolve the exceptions throughout the day so that exceptions are resolved before nightly invoice processing occurs.
Exceptions are stored in an internal OEIX table, and are noted with a Created by OERX flag. This table is also updated by the Sales Entry Invoice Processing Report. Exceptions in this table can be viewed on the Sales Pre-Invoice Exceptions Report and in Sales Invoicing Exception Inquiry.</t>
  </si>
  <si>
    <t>Function acronym: OEEPI
Use this report to generate invoices for sales orders. You can invoice process an order after it is picked and shipped.
Invoice processing
Invoicing is one of the last required steps to complete an order. Invoice processing places the order in Stage 4 (Invoiced) or Stage 5 (Paid), if the payment amount equals the invoice amount. An order cannot be changed or deleted after it is invoice processed, although an invoiced order can be copied to a new order.
For range or list processing, orders are invoiced, the order stage changed, and all Customer, General Ledger and Product updates are performed in this order:
RM orders in order number order
All other orders in order number order
This processing order is separate from the print order.
If the Our Records Only Invoice option is selected in Sales Order Entry, the order is invoice processed but output is not generated.</t>
  </si>
  <si>
    <t>This is an external process (External to this SOP) and the next set of steps and decision in the Quote to Cash Work Flow</t>
  </si>
  <si>
    <t>Function acronym: ARRCC
Use this report to review all relevant credit information contained in the customer's Customer Setup-Credit record.
Depending on your procedures and policies, you can run the Customer Credit Report each day for customers over their credit limit, on hold, or with overdue balances. You can also use the report on a cyclical basis to review all customers. Each day you can review a small range of customers to identify those with credit problems.
Note:  This report does not use the on order balance to determine if a customer or ship-to address is on hold. On order is displayed as a separate column on the report.
Customer balance information does not include balances for ship-to records with credit limits. Ship-to records with credit limits, hold periods, or on hold display on the report. These hold designators are displayed:
Ship To On Hold – Over Cred Limit
Ship To On Hold – Hold Period
Ship To – Over Sales Limit
Ship To – Preliminary Lien Not Filed
If a ship to record does not have a credit limit, it only appears if it has a hold period. If this is the case, Customer is displayed in the credit limit column. Last Review Date, Next Review Date, and Average Days to Pay always reflects customer level data. For a ship to record, Customer Ship To Setup job-to-date is displayed instead of Customer Setup sales year-to-date.
If you are a credit manager, you can print the Customer Credit Report for customers assigned to you. Review customers on a regular basis to ensure that their credit limit is still applicable, the average days to pay setting is acceptable, or overdue balances do not exist or are not excessive.
Reset the Next Revision Date field on the customer's Customer Setup-Credit record each time you review a customer. You can use the current value in the Next Revision Date to print the Customer Credit Report. All customers with a next review date up through the date you specify are included on the report. You also can automatically increase the Next Revision Date field when this report is printed.
This report also provides the information that is required for credit managers to determine if current conditions warrant ongoing credit at the current levels, if tighter controls should be established, or if higher levels of credit should be offered.</t>
  </si>
  <si>
    <t>DQ Technologies offers a comprehensive delivery confirmation solution through its Order Delivery Tracking (ODT) suite. This suite includes features such as:
Real-time tracking of delivery status, allowing customers to access their order status via an app. 
1
GPS tracking and customer notifications to enhance customer service and operational efficiency. 
1
Mobile applications for iOS and Android that facilitate communication between dispatch and drivers, capturing order status updates and proof of delivery. 
1
SMS and e-messaging services that provide automated updates to customers regarding their orders, including delivery confirmation. 
1
For more information, you can visit the DQ Technologies website or check out their Order Delivery Tracking page.</t>
  </si>
  <si>
    <t>Function acronym: OEES
Use this function to ship orders and vendor returns, and modify orders that have been picked from the warehouse and require changes. If you know the order number to ship, you can use the Quick Ship feature.
You can perform these tasks in Sales Shipping Feedback Entry:
Change order addons, quantity shipped, serial numbers, and lot numbers
Automatically fill outstanding backorders
Ship all line items on the order
Print pick tickets and invoices on demand
Change regular orders
You cannot cancel or delete an order in Sales Shipping Feedback Entry.
These options are available on the main page or the Quick Ship page:
Reserve
Split to Back Order
Shipping notifications
Ship/Unship
To view header and line item detail, click the right arrow to open the order record.</t>
  </si>
  <si>
    <t>Function acronym: OEEPP
Use this report to print pick tickets so that the products can be picked from the warehouse and staged for shipping. Optionally, you can print Integrated Barcode pick labels or cartonization package labels. Run this report after a sales order is created, and you have optionally sent an acknowledgment to the customer.
You can print pick tickets automatically from Sales Order Entry and Sales Entry Shipping Feedback Report through this function. You can also print pick tickets with Sales Entry Back Order Fill Report after an order is filled.
A temporary lock is placed on orders until picking is complete. Because pick tickets can be printed from multiple functions, the lock ensures that the pick tickets are printed only once. If the Sales Entry Back Order Fill Report or Sales Entry Pick Tickets Report does not finish processing, the user that created the order can unlock the order in Sales Order Entry.
Printing pick tickets
You can only print pick tickets for Stock Orders (SO), Blanket Releases (BR) and Counter Sales (CS) order types. Printing pick tickets changes orders from Stage 1 (Ordered) to Stage 2 (Picked), unless the total shipped quantity on the order is zero. If the stage is already Stage 3 (Shipped), it is not changed. Pick tickets cannot be printed for orders that have been invoice processed.
If Line Ship Complete is selected for a line item and these conditions are met, a pick ticket is not printed for the line:
The customer or ship to accepts back orders.
The line cannot be filled in its entirety.
When you run the pick ticket report, the shipped quantity for a Line Ship Complete line is set to zero and the line is included on the back order. The status of the Line Ship Complete option is copied from the original order to the back order. The shipped quantity on the back order is updated with the shipped quantity value from the original line. Stock is re-allocated to the line if stock is available after the Sales Entry Processing Back Order Fill Report is run.
You can use one of these methods to print pick tickets for Return Merchandise (RM) order types:
Print the print tickets from Sales Order Entry
List the RM order on the Sales Entry Pick Tickets Report</t>
  </si>
  <si>
    <t>The Order fillers process one order at a time, then marks any descripencies in the quantity picked versus ordered Stages
This table shows the processing stages for orders in the TWL warehouse:
Status	Description
Open	The order was printed and sent to TWL. It is in the online Order Manager.
In Pick	The order has been released for picking, or “dropped to the floor”.
Picked	Line items are being picked.
Packed	Picking is complete and the items are packed into a carton and ready to be shipped.
Loaded	Packages for the order are loaded on a truck and staged for shipping. The order can still be modified, unpicked, or canceled before the packages are shipped and the order data updates.
Shipped	The order has been shipped and the order data updates.
Zero Pick	The order could not be filled during picking.
Hold	The order is an exception in Order Manager and was manually put on hold to prevent further processing.</t>
  </si>
  <si>
    <r>
      <t xml:space="preserve">D1. Decision was there </t>
    </r>
    <r>
      <rPr>
        <i/>
        <u/>
        <sz val="11"/>
        <color rgb="FF000000"/>
        <rFont val="Calibri"/>
        <family val="2"/>
        <scheme val="minor"/>
      </rPr>
      <t>NO</t>
    </r>
    <r>
      <rPr>
        <sz val="11"/>
        <color rgb="FF000000"/>
        <rFont val="Calibri"/>
        <family val="2"/>
        <scheme val="minor"/>
      </rPr>
      <t xml:space="preserve"> difference between Ordered vs pick verified </t>
    </r>
  </si>
  <si>
    <r>
      <t xml:space="preserve">N2. No, A Delivery confirmation </t>
    </r>
    <r>
      <rPr>
        <i/>
        <u/>
        <sz val="11"/>
        <color rgb="FF000000"/>
        <rFont val="Calibri"/>
        <family val="2"/>
        <scheme val="minor"/>
      </rPr>
      <t>is</t>
    </r>
    <r>
      <rPr>
        <sz val="11"/>
        <color rgb="FF000000"/>
        <rFont val="Calibri"/>
        <family val="2"/>
        <scheme val="minor"/>
      </rPr>
      <t xml:space="preserve"> required  </t>
    </r>
  </si>
  <si>
    <t>04-Print customer order pick ticket</t>
  </si>
  <si>
    <t>https://scottelectricusa.uap.infor.com/#/content/62fb0830-5c16-4a0a-a9b2-cc08deed0381?contextId=2f764f07-416a-4c9e-b718-0909255ce277</t>
  </si>
  <si>
    <t>06_Print Pick Ticket</t>
  </si>
  <si>
    <t>https://scottelectricusa.uap.infor.com/#/content/b94123d0-bf35-4a24-b508-ad2c4f181c8c?contextId=1117d5a4-031c-40fd-bc51-f8d6bb1f1345</t>
  </si>
  <si>
    <t>05_Perform Shipping Feedback to Ship Order</t>
  </si>
  <si>
    <t>https://scottelectricusa.uap.infor.com/#/content/f94bc7ab-1028-4c10-94db-944e5ff5f8d6?contextId=7c164a91-88d9-45d8-9b73-813e146984b4</t>
  </si>
  <si>
    <t>04_Enter a Counter Sales Order and Record Tender Payments</t>
  </si>
  <si>
    <t>https://scottelectricusa.uap.infor.com/#/content/0ac75cc9-05da-42a8-982c-60b478e49b0f?contextId=a1856482-743b-42ae-9935-0b1dd402a198</t>
  </si>
  <si>
    <t>10-Enter Counter Sales Order and Record Tender Payments</t>
  </si>
  <si>
    <t>https://scottelectricusa.uap.infor.com/#/content/c2cca47a-d4c2-4f14-9070-1aafc17d9aed?contextId=4c116798-abf1-4daf-b5d8-d2d249ecdaf2</t>
  </si>
  <si>
    <t>06-Invoice sales order</t>
  </si>
  <si>
    <t>https://scottelectricusa.uap.infor.com/#/content/1dfbb025-8fe6-46f8-abb8-24eaef38f072?contextId=2f764f07-416a-4c9e-b718-0909255ce277</t>
  </si>
  <si>
    <t xml:space="preserve">Overview                                                                                                  
When the Pick Ticket for a sales order is printed, the stage of the sales order is advanced to the Picked stage. Pick Tickets can be manually printed, or If TWL is being used in the warehouse, the order would be dropped to TWL to be pulled. In a standard paper-style warehouse, the Pick Ticket would be printed in the warehouse for the warehouse personnel to pull.
In a standard paper-style warehouse, the Pick Ticket is the primary document the warehouse staff follow when pulling material. The Pick Ticket should include the recommended quantity to pick, the Ship Quantity, the Unit of Measure associated with that quantity, and the Bin Location(s) where the product(s) can be found in the warehouse. Additional information is available including product description information, UPC data, and Pricing information if desired. The warehouse staff will mark the quantity pulled for each line of the order, including any necessary Lot or Serial # information, and initial the picked to confirm they were the person responsible for pulling that order.
After the Picking process has been completed, the shipping department should verify the order has been picked correctly, and initial the pick ticket. The material is then packaged for shipment, and any necessary shipping or carton labels can be printed. Once the order has been verified and packed, the Shipping Feedback process should be completed by the shipping department or an office clerk to update the order with the actual quantities shipped, any required Lot or Serial # information, and to apply any relevant Addon charges for freight, handling or other misc. fees. 
A number of shipping documents can be generated from CSD, including a Packing List, Delivery Document, Bill of Lading, and Commercial Invoice.  
Most distributors perform Invoicing as a standard scheduled process that runs each evening; however, it is not uncommon for exceptions to occur during the invoicing process that can prevent a few orders from being properly invoiced. There are a myriad of exceptions that can occur on different orders; however, a few common reasons are: On Hand &lt; Qty Shipped, related PO or Transfer not received, Order on Hold, etc... The Pre-Invoicing exception report allows you to identify orders with exceptions so you can take the appropriate action to resolve the exception condition before the nightly scheduled invoicing process. Any unresolved or new exceptions that exist at the time of Invoicing will prevent the order from moving from the Shipped Stage to the Invoiced Stage, and an Exception report will be generated listing all orders that failed to Invoice.  
Customer Invoices can be set to the customer automatically based on Invoice Ecomm settings on the Customer and Ship To Setup records. Invoices, as well as Acknowledgements &amp; Statements, can be sent via email, fax, USPS (paper), or through the EDI process. Additional Customer email address information set up in the Contacts Contextual App can be leveraged to allow for multiple email recipients.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</si>
</sst>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i/>
      <u/>
      <sz val="11"/>
      <color rgb="FF000000"/>
      <name val="Calibri"/>
      <family val="2"/>
      <scheme val="minor"/>
    </font>
    <font>
      <u/>
      <sz val="11"/>
      <color theme="10"/>
      <name val="Calibri"/>
      <family val="2"/>
    </font>
    <font>
      <sz val="11"/>
      <color theme="1"/>
      <name val="Calibri"/>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1" xfId="0" applyFont="1" applyBorder="1" applyAlignment="1">
      <alignment vertical="top"/>
    </xf>
    <xf numFmtId="0" fontId="0" fillId="0" borderId="0" xfId="0" applyFont="1"/>
    <xf numFmtId="0" fontId="2" fillId="0" borderId="0" xfId="0" applyFont="1"/>
    <xf numFmtId="0" fontId="2" fillId="0" borderId="0" xfId="0" applyFont="1" applyAlignment="1">
      <alignment vertical="center" readingOrder="1"/>
    </xf>
    <xf numFmtId="0" fontId="4" fillId="2" borderId="2" xfId="0" applyFont="1" applyFill="1" applyBorder="1"/>
    <xf numFmtId="0" fontId="5" fillId="0" borderId="2" xfId="0" applyFont="1" applyBorder="1"/>
    <xf numFmtId="0" fontId="4" fillId="0" borderId="2" xfId="0" applyFont="1" applyBorder="1"/>
    <xf numFmtId="0" fontId="5" fillId="2"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cottelectricusa.uap.infor.com/" TargetMode="External"/><Relationship Id="rId2" Type="http://schemas.openxmlformats.org/officeDocument/2006/relationships/hyperlink" Target="https://scottelectricusa.uap.infor.com/" TargetMode="External"/><Relationship Id="rId1" Type="http://schemas.openxmlformats.org/officeDocument/2006/relationships/hyperlink" Target="https://scottelectricusa.uap.infor.com/" TargetMode="External"/><Relationship Id="rId6" Type="http://schemas.openxmlformats.org/officeDocument/2006/relationships/hyperlink" Target="https://scottelectricusa.uap.infor.com/" TargetMode="External"/><Relationship Id="rId5" Type="http://schemas.openxmlformats.org/officeDocument/2006/relationships/hyperlink" Target="https://scottelectricusa.uap.infor.com/" TargetMode="External"/><Relationship Id="rId4"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topLeftCell="A7" workbookViewId="0">
      <selection activeCell="C7" sqref="C7"/>
    </sheetView>
  </sheetViews>
  <sheetFormatPr defaultRowHeight="15" x14ac:dyDescent="0.25"/>
  <cols>
    <col min="2" max="2" width="62.28515625" style="4" customWidth="1"/>
    <col min="3" max="3" width="97.42578125" customWidth="1"/>
    <col min="4" max="4" width="46" customWidth="1"/>
    <col min="5" max="7" width="9.140625" customWidth="1"/>
    <col min="9" max="9" width="17.42578125" customWidth="1"/>
    <col min="10" max="10" width="21" customWidth="1"/>
  </cols>
  <sheetData>
    <row r="1" spans="1:10" ht="12" customHeight="1" x14ac:dyDescent="0.25">
      <c r="A1" t="s">
        <v>7</v>
      </c>
      <c r="B1" s="3" t="s">
        <v>0</v>
      </c>
      <c r="C1" s="1" t="s">
        <v>1</v>
      </c>
      <c r="D1" s="1" t="s">
        <v>2</v>
      </c>
      <c r="H1" t="s">
        <v>15</v>
      </c>
      <c r="I1" t="s">
        <v>36</v>
      </c>
      <c r="J1" t="s">
        <v>37</v>
      </c>
    </row>
    <row r="2" spans="1:10" x14ac:dyDescent="0.25">
      <c r="A2" t="str">
        <f>H2</f>
        <v>S000</v>
      </c>
      <c r="B2" s="6" t="s">
        <v>8</v>
      </c>
      <c r="C2" t="s">
        <v>6</v>
      </c>
      <c r="H2" t="str">
        <f>IF(B2="","",(LEFT(B2,((FIND(".",B2,1))-1))))</f>
        <v>S000</v>
      </c>
    </row>
    <row r="3" spans="1:10" x14ac:dyDescent="0.25">
      <c r="A3" t="str">
        <f t="shared" ref="A3:A27" si="0">H3</f>
        <v>S001</v>
      </c>
      <c r="B3" s="5" t="s">
        <v>3</v>
      </c>
      <c r="C3" t="s">
        <v>4</v>
      </c>
      <c r="H3" t="str">
        <f t="shared" ref="H3:H26" si="1">IF(B3="","",(LEFT(B3,((FIND(".",B3,1))-1))))</f>
        <v>S001</v>
      </c>
    </row>
    <row r="4" spans="1:10" x14ac:dyDescent="0.25">
      <c r="A4" t="str">
        <f t="shared" si="0"/>
        <v>S002</v>
      </c>
      <c r="B4" s="6" t="s">
        <v>9</v>
      </c>
      <c r="C4" t="s">
        <v>16</v>
      </c>
      <c r="H4" t="str">
        <f t="shared" si="1"/>
        <v>S002</v>
      </c>
    </row>
    <row r="5" spans="1:10" ht="18.75" customHeight="1" x14ac:dyDescent="0.25">
      <c r="A5" t="str">
        <f t="shared" si="0"/>
        <v>S003</v>
      </c>
      <c r="B5" s="6" t="s">
        <v>10</v>
      </c>
      <c r="C5" s="2" t="s">
        <v>5</v>
      </c>
      <c r="H5" t="str">
        <f t="shared" si="1"/>
        <v>S003</v>
      </c>
    </row>
    <row r="6" spans="1:10" ht="409.5" x14ac:dyDescent="0.25">
      <c r="A6" t="str">
        <f t="shared" si="0"/>
        <v>M1</v>
      </c>
      <c r="B6" s="6" t="s">
        <v>18</v>
      </c>
      <c r="C6" s="2" t="s">
        <v>63</v>
      </c>
      <c r="H6" t="str">
        <f t="shared" si="1"/>
        <v>M1</v>
      </c>
    </row>
    <row r="7" spans="1:10" ht="12" customHeight="1" x14ac:dyDescent="0.25">
      <c r="A7" t="str">
        <f t="shared" si="0"/>
        <v>S1</v>
      </c>
      <c r="B7" s="5" t="s">
        <v>19</v>
      </c>
      <c r="C7" s="2" t="s">
        <v>47</v>
      </c>
      <c r="H7" t="str">
        <f t="shared" si="1"/>
        <v>S1</v>
      </c>
      <c r="I7" t="s">
        <v>51</v>
      </c>
      <c r="J7" s="7" t="s">
        <v>52</v>
      </c>
    </row>
    <row r="8" spans="1:10" ht="12" customHeight="1" x14ac:dyDescent="0.25">
      <c r="A8" t="str">
        <f t="shared" si="0"/>
        <v>S2</v>
      </c>
      <c r="B8" s="5" t="s">
        <v>20</v>
      </c>
      <c r="C8" s="2" t="s">
        <v>48</v>
      </c>
      <c r="H8" t="str">
        <f t="shared" si="1"/>
        <v>S2</v>
      </c>
      <c r="I8" t="s">
        <v>53</v>
      </c>
      <c r="J8" t="s">
        <v>54</v>
      </c>
    </row>
    <row r="9" spans="1:10" ht="12" customHeight="1" x14ac:dyDescent="0.25">
      <c r="A9" t="str">
        <f t="shared" si="0"/>
        <v>S3</v>
      </c>
      <c r="B9" s="5" t="s">
        <v>21</v>
      </c>
      <c r="C9" t="s">
        <v>38</v>
      </c>
      <c r="H9" t="str">
        <f t="shared" si="1"/>
        <v>S3</v>
      </c>
    </row>
    <row r="10" spans="1:10" x14ac:dyDescent="0.25">
      <c r="A10" t="str">
        <f t="shared" si="0"/>
        <v>D1</v>
      </c>
      <c r="B10" s="5" t="s">
        <v>49</v>
      </c>
      <c r="H10" t="str">
        <f t="shared" si="1"/>
        <v>D1</v>
      </c>
    </row>
    <row r="11" spans="1:10" x14ac:dyDescent="0.25">
      <c r="A11" t="str">
        <f t="shared" si="0"/>
        <v>Y1</v>
      </c>
      <c r="B11" s="5" t="s">
        <v>22</v>
      </c>
      <c r="H11" t="str">
        <f t="shared" si="1"/>
        <v>Y1</v>
      </c>
    </row>
    <row r="12" spans="1:10" ht="12" customHeight="1" x14ac:dyDescent="0.25">
      <c r="A12" t="str">
        <f t="shared" si="0"/>
        <v>S4</v>
      </c>
      <c r="B12" s="5" t="s">
        <v>23</v>
      </c>
      <c r="C12" t="s">
        <v>39</v>
      </c>
      <c r="H12" t="str">
        <f t="shared" si="1"/>
        <v>S4</v>
      </c>
      <c r="I12" s="8" t="s">
        <v>55</v>
      </c>
      <c r="J12" s="9" t="s">
        <v>56</v>
      </c>
    </row>
    <row r="13" spans="1:10" x14ac:dyDescent="0.25">
      <c r="A13" t="str">
        <f t="shared" si="0"/>
        <v>D2</v>
      </c>
      <c r="B13" s="5" t="s">
        <v>24</v>
      </c>
      <c r="H13" t="str">
        <f t="shared" si="1"/>
        <v>D2</v>
      </c>
    </row>
    <row r="14" spans="1:10" x14ac:dyDescent="0.25">
      <c r="A14" t="str">
        <f t="shared" si="0"/>
        <v>Y2</v>
      </c>
      <c r="B14" s="6" t="s">
        <v>25</v>
      </c>
      <c r="H14" t="str">
        <f t="shared" si="1"/>
        <v>Y2</v>
      </c>
    </row>
    <row r="15" spans="1:10" ht="12" customHeight="1" x14ac:dyDescent="0.25">
      <c r="A15" t="str">
        <f t="shared" si="0"/>
        <v>S5</v>
      </c>
      <c r="B15" s="5" t="s">
        <v>26</v>
      </c>
      <c r="C15" t="s">
        <v>40</v>
      </c>
      <c r="H15" t="str">
        <f t="shared" si="1"/>
        <v>S5</v>
      </c>
      <c r="I15" s="10" t="s">
        <v>57</v>
      </c>
      <c r="J15" s="7" t="s">
        <v>58</v>
      </c>
    </row>
    <row r="16" spans="1:10" ht="12" customHeight="1" x14ac:dyDescent="0.25">
      <c r="A16" t="str">
        <f t="shared" si="0"/>
        <v>S6</v>
      </c>
      <c r="B16" s="5" t="s">
        <v>27</v>
      </c>
      <c r="C16" s="2" t="s">
        <v>41</v>
      </c>
      <c r="H16" t="str">
        <f t="shared" si="1"/>
        <v>S6</v>
      </c>
      <c r="I16" s="8" t="s">
        <v>59</v>
      </c>
      <c r="J16" s="9" t="s">
        <v>60</v>
      </c>
    </row>
    <row r="17" spans="1:10" x14ac:dyDescent="0.25">
      <c r="A17" t="str">
        <f t="shared" si="0"/>
        <v>D3</v>
      </c>
      <c r="B17" s="5" t="s">
        <v>28</v>
      </c>
      <c r="H17" t="str">
        <f t="shared" si="1"/>
        <v>D3</v>
      </c>
    </row>
    <row r="18" spans="1:10" ht="12" customHeight="1" x14ac:dyDescent="0.25">
      <c r="A18" t="str">
        <f t="shared" si="0"/>
        <v>S7</v>
      </c>
      <c r="B18" s="5" t="s">
        <v>29</v>
      </c>
      <c r="C18" s="2" t="s">
        <v>42</v>
      </c>
      <c r="H18" t="str">
        <f t="shared" si="1"/>
        <v>S7</v>
      </c>
    </row>
    <row r="19" spans="1:10" ht="12" customHeight="1" x14ac:dyDescent="0.25">
      <c r="A19" t="str">
        <f t="shared" si="0"/>
        <v>S8</v>
      </c>
      <c r="B19" s="5" t="s">
        <v>30</v>
      </c>
      <c r="C19" t="s">
        <v>43</v>
      </c>
      <c r="H19" t="str">
        <f t="shared" si="1"/>
        <v>S8</v>
      </c>
      <c r="I19" s="10" t="s">
        <v>61</v>
      </c>
      <c r="J19" s="7" t="s">
        <v>62</v>
      </c>
    </row>
    <row r="20" spans="1:10" x14ac:dyDescent="0.25">
      <c r="A20" t="str">
        <f t="shared" si="0"/>
        <v>N3</v>
      </c>
      <c r="B20" s="5" t="s">
        <v>31</v>
      </c>
      <c r="H20" t="str">
        <f t="shared" si="1"/>
        <v>N3</v>
      </c>
    </row>
    <row r="21" spans="1:10" ht="12" customHeight="1" x14ac:dyDescent="0.25">
      <c r="A21" t="str">
        <f t="shared" si="0"/>
        <v>S9</v>
      </c>
      <c r="B21" s="5" t="s">
        <v>32</v>
      </c>
      <c r="C21" s="2" t="s">
        <v>44</v>
      </c>
      <c r="H21" t="str">
        <f t="shared" si="1"/>
        <v>S9</v>
      </c>
    </row>
    <row r="22" spans="1:10" x14ac:dyDescent="0.25">
      <c r="A22" t="str">
        <f t="shared" si="0"/>
        <v>N2</v>
      </c>
      <c r="B22" s="5" t="s">
        <v>50</v>
      </c>
      <c r="H22" t="str">
        <f t="shared" si="1"/>
        <v>N2</v>
      </c>
    </row>
    <row r="23" spans="1:10" ht="12" customHeight="1" x14ac:dyDescent="0.25">
      <c r="A23" t="str">
        <f t="shared" si="0"/>
        <v>S10</v>
      </c>
      <c r="B23" s="5" t="s">
        <v>33</v>
      </c>
      <c r="C23" s="2" t="s">
        <v>45</v>
      </c>
      <c r="H23" t="str">
        <f t="shared" si="1"/>
        <v>S10</v>
      </c>
    </row>
    <row r="24" spans="1:10" x14ac:dyDescent="0.25">
      <c r="A24" t="str">
        <f t="shared" si="0"/>
        <v>N1</v>
      </c>
      <c r="B24" s="5" t="s">
        <v>34</v>
      </c>
      <c r="C24" s="2"/>
      <c r="H24" t="str">
        <f t="shared" si="1"/>
        <v>N1</v>
      </c>
    </row>
    <row r="25" spans="1:10" ht="12" customHeight="1" x14ac:dyDescent="0.25">
      <c r="A25" t="str">
        <f t="shared" si="0"/>
        <v>S11</v>
      </c>
      <c r="B25" s="5" t="s">
        <v>35</v>
      </c>
      <c r="C25" s="2" t="s">
        <v>46</v>
      </c>
      <c r="H25" t="str">
        <f t="shared" si="1"/>
        <v>S11</v>
      </c>
      <c r="I25" t="s">
        <v>55</v>
      </c>
      <c r="J25" s="9" t="s">
        <v>56</v>
      </c>
    </row>
    <row r="26" spans="1:10" x14ac:dyDescent="0.25">
      <c r="A26" t="str">
        <f t="shared" si="0"/>
        <v>S999</v>
      </c>
      <c r="B26" s="6" t="s">
        <v>13</v>
      </c>
      <c r="C26" t="s">
        <v>14</v>
      </c>
      <c r="H26" t="str">
        <f t="shared" si="1"/>
        <v>S999</v>
      </c>
    </row>
    <row r="27" spans="1:10" x14ac:dyDescent="0.25">
      <c r="B27" s="5"/>
    </row>
    <row r="28" spans="1:10" ht="30" x14ac:dyDescent="0.25">
      <c r="B28" s="5"/>
      <c r="C28" s="2" t="s">
        <v>11</v>
      </c>
    </row>
    <row r="29" spans="1:10" x14ac:dyDescent="0.25">
      <c r="B29" s="5"/>
      <c r="C29" t="s">
        <v>12</v>
      </c>
    </row>
    <row r="30" spans="1:10" x14ac:dyDescent="0.25">
      <c r="B30" s="5"/>
      <c r="C30" t="s">
        <v>17</v>
      </c>
    </row>
    <row r="31" spans="1:10" x14ac:dyDescent="0.25">
      <c r="B31" s="5"/>
    </row>
    <row r="32" spans="1:10" x14ac:dyDescent="0.25">
      <c r="B32" s="5"/>
    </row>
    <row r="34" spans="2:2" x14ac:dyDescent="0.25">
      <c r="B34" s="5"/>
    </row>
    <row r="35" spans="2:2" ht="16.5" customHeight="1" x14ac:dyDescent="0.25">
      <c r="B35" s="5"/>
    </row>
    <row r="36" spans="2:2" x14ac:dyDescent="0.25">
      <c r="B36" s="5"/>
    </row>
    <row r="37" spans="2:2" x14ac:dyDescent="0.25">
      <c r="B37" s="5"/>
    </row>
    <row r="38" spans="2:2" x14ac:dyDescent="0.25">
      <c r="B38" s="5"/>
    </row>
    <row r="39" spans="2:2" x14ac:dyDescent="0.25">
      <c r="B39" s="6"/>
    </row>
    <row r="40" spans="2:2" x14ac:dyDescent="0.25">
      <c r="B40" s="5"/>
    </row>
    <row r="41" spans="2:2" x14ac:dyDescent="0.25">
      <c r="B41" s="5"/>
    </row>
    <row r="42" spans="2:2" x14ac:dyDescent="0.25">
      <c r="B42" s="5"/>
    </row>
    <row r="43" spans="2:2" x14ac:dyDescent="0.25">
      <c r="B43" s="5"/>
    </row>
  </sheetData>
  <sortState xmlns:xlrd2="http://schemas.microsoft.com/office/spreadsheetml/2017/richdata2" ref="A2:D43">
    <sortCondition ref="A2:A43"/>
  </sortState>
  <hyperlinks>
    <hyperlink ref="J7" r:id="rId1" location="/content/62fb0830-5c16-4a0a-a9b2-cc08deed0381?contextId=2f764f07-416a-4c9e-b718-0909255ce277" xr:uid="{B1EA66E2-E330-4B70-A16E-5111A4155172}"/>
    <hyperlink ref="J12" r:id="rId2" location="/content/f94bc7ab-1028-4c10-94db-944e5ff5f8d6?contextId=7c164a91-88d9-45d8-9b73-813e146984b4" xr:uid="{41B2CBE6-8582-4A37-ADB2-93692F408ECD}"/>
    <hyperlink ref="J15" r:id="rId3" location="/content/0ac75cc9-05da-42a8-982c-60b478e49b0f?contextId=a1856482-743b-42ae-9935-0b1dd402a198" xr:uid="{3C8E3B78-4D6D-4739-96E4-BFD13DEFE4EF}"/>
    <hyperlink ref="J16" r:id="rId4" location="/content/c2cca47a-d4c2-4f14-9070-1aafc17d9aed?contextId=4c116798-abf1-4daf-b5d8-d2d249ecdaf2" xr:uid="{6348B769-9FFB-407D-9020-576487BD552B}"/>
    <hyperlink ref="J19" r:id="rId5" location="/content/1dfbb025-8fe6-46f8-abb8-24eaef38f072?contextId=2f764f07-416a-4c9e-b718-0909255ce277" xr:uid="{85A07EBE-6A48-475B-95EE-3F017EAC90FA}"/>
    <hyperlink ref="J25" r:id="rId6" location="/content/f94bc7ab-1028-4c10-94db-944e5ff5f8d6?contextId=7c164a91-88d9-45d8-9b73-813e146984b4" xr:uid="{A27C0ABF-AA4E-4004-B671-3C65EAD3373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gbg106</dc:creator>
  <cp:lastModifiedBy>Subi R</cp:lastModifiedBy>
  <dcterms:created xsi:type="dcterms:W3CDTF">2025-11-15T22:14:14Z</dcterms:created>
  <dcterms:modified xsi:type="dcterms:W3CDTF">2025-11-25T18:47:41Z</dcterms:modified>
</cp:coreProperties>
</file>