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scottuser\Downloads\102125\up\Chgpt\"/>
    </mc:Choice>
  </mc:AlternateContent>
  <xr:revisionPtr revIDLastSave="0" documentId="8_{D530B1C9-1DB6-4662-8654-5D15789C73AE}" xr6:coauthVersionLast="47" xr6:coauthVersionMax="47" xr10:uidLastSave="{00000000-0000-0000-0000-000000000000}"/>
  <bookViews>
    <workbookView xWindow="-25815" yWindow="2985" windowWidth="21600" windowHeight="11235" xr2:uid="{1A2EBE9D-3CDB-4280-8D0A-52FD673327BE}"/>
  </bookViews>
  <sheets>
    <sheet name="Resp_Map_Entries" sheetId="1" r:id="rId1"/>
  </sheets>
  <externalReferences>
    <externalReference r:id="rId2"/>
  </externalReferences>
  <definedNames>
    <definedName name="_xlnm._FilterDatabase" localSheetId="0" hidden="1">Resp_Map_Entries!$A$1:$F$20</definedName>
    <definedName name="OPM_Code_Lookup">[1]OPM_Code_Lookup!$A$1:$D$9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0" i="1" l="1"/>
  <c r="B20" i="1"/>
  <c r="D19" i="1"/>
  <c r="D18" i="1"/>
  <c r="B18" i="1"/>
  <c r="D17" i="1"/>
  <c r="D16" i="1"/>
  <c r="B16" i="1"/>
  <c r="D15" i="1"/>
  <c r="D14" i="1"/>
  <c r="B14" i="1"/>
  <c r="D13" i="1"/>
  <c r="B13" i="1"/>
  <c r="D12" i="1"/>
  <c r="B12" i="1"/>
  <c r="D11" i="1"/>
  <c r="B11" i="1"/>
  <c r="D10" i="1"/>
  <c r="D9" i="1"/>
  <c r="D8" i="1"/>
  <c r="B8" i="1"/>
  <c r="D7" i="1"/>
  <c r="D6" i="1"/>
  <c r="D5" i="1"/>
  <c r="D4" i="1"/>
  <c r="B4" i="1"/>
  <c r="D3" i="1"/>
  <c r="D2" i="1"/>
  <c r="B2" i="1"/>
</calcChain>
</file>

<file path=xl/sharedStrings.xml><?xml version="1.0" encoding="utf-8"?>
<sst xmlns="http://schemas.openxmlformats.org/spreadsheetml/2006/main" count="53" uniqueCount="53">
  <si>
    <t>Code</t>
  </si>
  <si>
    <t>OPM_Step</t>
  </si>
  <si>
    <t>Title</t>
  </si>
  <si>
    <t>Source_Title</t>
  </si>
  <si>
    <t>match_code_OPM</t>
  </si>
  <si>
    <t>Match_Conf</t>
  </si>
  <si>
    <t>Slide_01</t>
  </si>
  <si>
    <t>Template on for creating  SOP_x000B_PPT option</t>
  </si>
  <si>
    <t>M1</t>
  </si>
  <si>
    <t>PM</t>
  </si>
  <si>
    <t>.M1 – Tech Mobile</t>
  </si>
  <si>
    <t>S1</t>
  </si>
  <si>
    <t>S1. Appointment Accepted – Tech Mobile SRO</t>
  </si>
  <si>
    <t>S2</t>
  </si>
  <si>
    <t>P2</t>
  </si>
  <si>
    <t>S2. Travel to Site – Tech Mobile SRO</t>
  </si>
  <si>
    <t>S3</t>
  </si>
  <si>
    <t>P3</t>
  </si>
  <si>
    <t>S3. Perform Site Work– Tech Mobile SRO</t>
  </si>
  <si>
    <t>D1</t>
  </si>
  <si>
    <t xml:space="preserve"> </t>
  </si>
  <si>
    <t>D1. Additional Material Needed – Tech Mobile SRO</t>
  </si>
  <si>
    <t>Y1</t>
  </si>
  <si>
    <t>Y1. Yes Additional Material is needed– Tech Mobile SRO</t>
  </si>
  <si>
    <t>S4</t>
  </si>
  <si>
    <t>P4</t>
  </si>
  <si>
    <t>S4. Add Additional material – Tech Mobile SRO</t>
  </si>
  <si>
    <t>S5</t>
  </si>
  <si>
    <t>P5</t>
  </si>
  <si>
    <t>S5. Travel from Site – Tech Mobile SRO</t>
  </si>
  <si>
    <t>D2</t>
  </si>
  <si>
    <t>D2. Is Additional Work – Tech Mobile SRO</t>
  </si>
  <si>
    <t>Y2</t>
  </si>
  <si>
    <t>Y2. Yes  Additional Work is needed – Tech Mobile SRO</t>
  </si>
  <si>
    <t>D3</t>
  </si>
  <si>
    <t>D3. Additional Work Completed during this visit – Tech Mobile SRO</t>
  </si>
  <si>
    <t>Y3</t>
  </si>
  <si>
    <t>Y3. Additional Work can be completed  – Tech Mobile SRO</t>
  </si>
  <si>
    <t>S6</t>
  </si>
  <si>
    <t>P1</t>
  </si>
  <si>
    <t>S6. Create New SRO– Tech Mobile SRO</t>
  </si>
  <si>
    <t>N3</t>
  </si>
  <si>
    <t>N3. No Additional work not completed this visit – Tech Mobile SRO</t>
  </si>
  <si>
    <t>S7</t>
  </si>
  <si>
    <t>P6</t>
  </si>
  <si>
    <t>S7. Change Status to Call Back – Tech Mobile SRO</t>
  </si>
  <si>
    <t>N2</t>
  </si>
  <si>
    <t>N2 No Additional work is needed– Tech Mobile SRO</t>
  </si>
  <si>
    <t>S8</t>
  </si>
  <si>
    <t>P7</t>
  </si>
  <si>
    <t>S8. Change Status to Closed – Tech Mobile SRO</t>
  </si>
  <si>
    <t>N1</t>
  </si>
  <si>
    <t>N1. No Additional Material Needed – Tech Mobile SRO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</si>
</sst>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cottuser\Downloads\Tech_Manual_Match_211025_2014_autofill.xlsx" TargetMode="External"/><Relationship Id="rId1" Type="http://schemas.openxmlformats.org/officeDocument/2006/relationships/externalLinkPath" Target="/Users/scottuser/Downloads/Tech_Manual_Match_211025_2014_autofi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p_Entries"/>
      <sheetName val="OPM_Code_Lookup"/>
      <sheetName val="OPM_NoDNY_Codes"/>
    </sheetNames>
    <sheetDataSet>
      <sheetData sheetId="0"/>
      <sheetData sheetId="1">
        <row r="1">
          <cell r="A1" t="str">
            <v>Code</v>
          </cell>
          <cell r="B1" t="str">
            <v>OPM_Step</v>
          </cell>
          <cell r="C1" t="str">
            <v>Source_Title</v>
          </cell>
          <cell r="D1" t="str">
            <v>Step_narr_out_simple</v>
          </cell>
        </row>
        <row r="2">
          <cell r="B2" t="str">
            <v>P1</v>
          </cell>
          <cell r="C2" t="str">
            <v>OPM New SRO</v>
          </cell>
          <cell r="D2" t="str">
            <v>Log into the ISM Tech Mobile App on a touchscreen tablet device Create a.</v>
          </cell>
        </row>
        <row r="3">
          <cell r="B3" t="str">
            <v>P2</v>
          </cell>
          <cell r="C3" t="str">
            <v>Travel to Site</v>
          </cell>
          <cell r="D3" t="str">
            <v>Choose the appointment you are traveling to Travel to Site Tech Mobile App choose.</v>
          </cell>
        </row>
        <row r="4">
          <cell r="B4" t="str">
            <v>P3</v>
          </cell>
          <cell r="C4" t="str">
            <v>Perform Site Work</v>
          </cell>
          <cell r="D4" t="str">
            <v>Clock into operation 10 parts for onsite service Perform Site Work Now choose materials. Then click done Back arrow Clock out of labor Change the work code to.</v>
          </cell>
        </row>
        <row r="5">
          <cell r="B5" t="str">
            <v>P4</v>
          </cell>
          <cell r="C5" t="str">
            <v>Add Material</v>
          </cell>
          <cell r="D5" t="str">
            <v>Tap on menu icon go to to Materials in Appointment Details Tap on the.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v>
          </cell>
        </row>
        <row r="6">
          <cell r="B6" t="str">
            <v>P5</v>
          </cell>
          <cell r="C6" t="str">
            <v>Travel Leaving Site</v>
          </cell>
          <cell r="D6" t="str">
            <v>Once on site work is finish, clock into operation 1/ 20 for the drive.</v>
          </cell>
        </row>
        <row r="7">
          <cell r="B7" t="str">
            <v>P6</v>
          </cell>
          <cell r="C7" t="str">
            <v>Change Status to Callback</v>
          </cell>
          <cell r="D7" t="str">
            <v>Click SRO status on the appointment detail Change Status to Callback Tech Mobile App.</v>
          </cell>
        </row>
        <row r="8">
          <cell r="B8" t="str">
            <v>P7</v>
          </cell>
          <cell r="C8" t="str">
            <v>Change Status to Closed</v>
          </cell>
          <cell r="D8" t="str">
            <v>Click SRO status on the appointment detail Change Status Closed Tech Mobile App Close.</v>
          </cell>
        </row>
        <row r="9">
          <cell r="B9" t="str">
            <v>PM</v>
          </cell>
          <cell r="C9" t="str">
            <v>Tech – Master</v>
          </cell>
          <cell r="D9" t="str">
            <v>Log into the ISM Tech Mobile App on a touchscreen tablet device Create a. Then click done Back arrow Clock out of labor Change the work code to.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v>
          </cell>
        </row>
      </sheetData>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115E0-4745-4656-A54F-8B34DAEAD5D7}">
  <sheetPr filterMode="1"/>
  <dimension ref="A1:F20"/>
  <sheetViews>
    <sheetView tabSelected="1" workbookViewId="0">
      <selection activeCell="C35" sqref="C35"/>
    </sheetView>
  </sheetViews>
  <sheetFormatPr defaultRowHeight="15" x14ac:dyDescent="0.25"/>
  <cols>
    <col min="3" max="3" width="44.7109375" customWidth="1"/>
  </cols>
  <sheetData>
    <row r="1" spans="1:6" x14ac:dyDescent="0.25">
      <c r="A1" s="1" t="s">
        <v>0</v>
      </c>
      <c r="B1" s="1" t="s">
        <v>1</v>
      </c>
      <c r="C1" s="1" t="s">
        <v>2</v>
      </c>
      <c r="D1" s="1" t="s">
        <v>3</v>
      </c>
      <c r="E1" s="1" t="s">
        <v>4</v>
      </c>
      <c r="F1" s="1" t="s">
        <v>5</v>
      </c>
    </row>
    <row r="2" spans="1:6" x14ac:dyDescent="0.25">
      <c r="A2" t="s">
        <v>6</v>
      </c>
      <c r="B2" t="str">
        <f t="shared" ref="B2:B20" si="0">IF($E2="","",IFERROR(VLOOKUP($E2, OPM_Code_Lookup, 2, FALSE), ""))</f>
        <v/>
      </c>
      <c r="C2" t="s">
        <v>7</v>
      </c>
      <c r="D2" t="str">
        <f t="shared" ref="D2:D20" si="1">IF($E2="","",IFERROR(VLOOKUP($E2, OPM_Code_Lookup, 3, FALSE), ""))</f>
        <v/>
      </c>
      <c r="F2">
        <v>42</v>
      </c>
    </row>
    <row r="3" spans="1:6" hidden="1" x14ac:dyDescent="0.25">
      <c r="A3" t="s">
        <v>8</v>
      </c>
      <c r="B3" t="s">
        <v>9</v>
      </c>
      <c r="C3" t="s">
        <v>10</v>
      </c>
      <c r="D3" t="str">
        <f t="shared" si="1"/>
        <v/>
      </c>
      <c r="F3">
        <v>64</v>
      </c>
    </row>
    <row r="4" spans="1:6" x14ac:dyDescent="0.25">
      <c r="A4" t="s">
        <v>11</v>
      </c>
      <c r="B4" t="str">
        <f t="shared" si="0"/>
        <v/>
      </c>
      <c r="C4" t="s">
        <v>12</v>
      </c>
      <c r="D4" t="str">
        <f t="shared" si="1"/>
        <v/>
      </c>
      <c r="F4">
        <v>35</v>
      </c>
    </row>
    <row r="5" spans="1:6" x14ac:dyDescent="0.25">
      <c r="A5" t="s">
        <v>13</v>
      </c>
      <c r="B5" t="s">
        <v>14</v>
      </c>
      <c r="C5" t="s">
        <v>15</v>
      </c>
      <c r="D5" t="str">
        <f t="shared" si="1"/>
        <v/>
      </c>
      <c r="F5">
        <v>64</v>
      </c>
    </row>
    <row r="6" spans="1:6" x14ac:dyDescent="0.25">
      <c r="A6" t="s">
        <v>16</v>
      </c>
      <c r="B6" t="s">
        <v>17</v>
      </c>
      <c r="C6" t="s">
        <v>18</v>
      </c>
      <c r="D6" t="str">
        <f t="shared" si="1"/>
        <v/>
      </c>
      <c r="F6">
        <v>68</v>
      </c>
    </row>
    <row r="7" spans="1:6" hidden="1" x14ac:dyDescent="0.25">
      <c r="A7" t="s">
        <v>19</v>
      </c>
      <c r="B7" t="s">
        <v>20</v>
      </c>
      <c r="C7" t="s">
        <v>21</v>
      </c>
      <c r="D7" t="str">
        <f t="shared" si="1"/>
        <v/>
      </c>
      <c r="F7">
        <v>45</v>
      </c>
    </row>
    <row r="8" spans="1:6" hidden="1" x14ac:dyDescent="0.25">
      <c r="A8" t="s">
        <v>22</v>
      </c>
      <c r="B8" t="str">
        <f t="shared" si="0"/>
        <v/>
      </c>
      <c r="C8" t="s">
        <v>23</v>
      </c>
      <c r="D8" t="str">
        <f t="shared" si="1"/>
        <v/>
      </c>
      <c r="F8">
        <v>40</v>
      </c>
    </row>
    <row r="9" spans="1:6" x14ac:dyDescent="0.25">
      <c r="A9" t="s">
        <v>24</v>
      </c>
      <c r="B9" t="s">
        <v>25</v>
      </c>
      <c r="C9" t="s">
        <v>26</v>
      </c>
      <c r="D9" t="str">
        <f t="shared" si="1"/>
        <v/>
      </c>
      <c r="F9">
        <v>48</v>
      </c>
    </row>
    <row r="10" spans="1:6" x14ac:dyDescent="0.25">
      <c r="A10" t="s">
        <v>27</v>
      </c>
      <c r="B10" t="s">
        <v>28</v>
      </c>
      <c r="C10" t="s">
        <v>29</v>
      </c>
      <c r="D10" t="str">
        <f t="shared" si="1"/>
        <v/>
      </c>
      <c r="F10">
        <v>57</v>
      </c>
    </row>
    <row r="11" spans="1:6" hidden="1" x14ac:dyDescent="0.25">
      <c r="A11" t="s">
        <v>30</v>
      </c>
      <c r="B11" t="str">
        <f t="shared" si="0"/>
        <v/>
      </c>
      <c r="C11" t="s">
        <v>31</v>
      </c>
      <c r="D11" t="str">
        <f t="shared" si="1"/>
        <v/>
      </c>
      <c r="F11">
        <v>36</v>
      </c>
    </row>
    <row r="12" spans="1:6" hidden="1" x14ac:dyDescent="0.25">
      <c r="A12" t="s">
        <v>32</v>
      </c>
      <c r="B12" t="str">
        <f t="shared" si="0"/>
        <v/>
      </c>
      <c r="C12" t="s">
        <v>33</v>
      </c>
      <c r="D12" t="str">
        <f t="shared" si="1"/>
        <v/>
      </c>
      <c r="F12">
        <v>30</v>
      </c>
    </row>
    <row r="13" spans="1:6" hidden="1" x14ac:dyDescent="0.25">
      <c r="A13" t="s">
        <v>34</v>
      </c>
      <c r="B13" t="str">
        <f t="shared" si="0"/>
        <v/>
      </c>
      <c r="C13" t="s">
        <v>35</v>
      </c>
      <c r="D13" t="str">
        <f t="shared" si="1"/>
        <v/>
      </c>
      <c r="F13">
        <v>34</v>
      </c>
    </row>
    <row r="14" spans="1:6" hidden="1" x14ac:dyDescent="0.25">
      <c r="A14" t="s">
        <v>36</v>
      </c>
      <c r="B14" t="str">
        <f t="shared" si="0"/>
        <v/>
      </c>
      <c r="C14" t="s">
        <v>37</v>
      </c>
      <c r="D14" t="str">
        <f t="shared" si="1"/>
        <v/>
      </c>
      <c r="F14">
        <v>28</v>
      </c>
    </row>
    <row r="15" spans="1:6" x14ac:dyDescent="0.25">
      <c r="A15" t="s">
        <v>38</v>
      </c>
      <c r="B15" t="s">
        <v>39</v>
      </c>
      <c r="C15" t="s">
        <v>40</v>
      </c>
      <c r="D15" t="str">
        <f t="shared" si="1"/>
        <v/>
      </c>
      <c r="F15">
        <v>40</v>
      </c>
    </row>
    <row r="16" spans="1:6" hidden="1" x14ac:dyDescent="0.25">
      <c r="A16" t="s">
        <v>41</v>
      </c>
      <c r="B16" t="str">
        <f t="shared" si="0"/>
        <v/>
      </c>
      <c r="C16" t="s">
        <v>42</v>
      </c>
      <c r="D16" t="str">
        <f t="shared" si="1"/>
        <v/>
      </c>
      <c r="F16">
        <v>29</v>
      </c>
    </row>
    <row r="17" spans="1:6" x14ac:dyDescent="0.25">
      <c r="A17" t="s">
        <v>43</v>
      </c>
      <c r="B17" t="s">
        <v>44</v>
      </c>
      <c r="C17" t="s">
        <v>45</v>
      </c>
      <c r="D17" t="str">
        <f t="shared" si="1"/>
        <v/>
      </c>
      <c r="F17">
        <v>75</v>
      </c>
    </row>
    <row r="18" spans="1:6" hidden="1" x14ac:dyDescent="0.25">
      <c r="A18" t="s">
        <v>46</v>
      </c>
      <c r="B18" t="str">
        <f t="shared" si="0"/>
        <v/>
      </c>
      <c r="C18" t="s">
        <v>47</v>
      </c>
      <c r="D18" t="str">
        <f t="shared" si="1"/>
        <v/>
      </c>
      <c r="F18">
        <v>30</v>
      </c>
    </row>
    <row r="19" spans="1:6" x14ac:dyDescent="0.25">
      <c r="A19" t="s">
        <v>48</v>
      </c>
      <c r="B19" t="s">
        <v>49</v>
      </c>
      <c r="C19" t="s">
        <v>50</v>
      </c>
      <c r="D19" t="str">
        <f t="shared" si="1"/>
        <v/>
      </c>
      <c r="F19">
        <v>75</v>
      </c>
    </row>
    <row r="20" spans="1:6" hidden="1" x14ac:dyDescent="0.25">
      <c r="A20" t="s">
        <v>51</v>
      </c>
      <c r="B20" t="str">
        <f t="shared" si="0"/>
        <v/>
      </c>
      <c r="C20" t="s">
        <v>52</v>
      </c>
      <c r="D20" t="str">
        <f t="shared" si="1"/>
        <v/>
      </c>
      <c r="F20">
        <v>43</v>
      </c>
    </row>
  </sheetData>
  <autoFilter ref="A1:F20" xr:uid="{00000000-0001-0000-0000-000000000000}">
    <filterColumn colId="0">
      <filters>
        <filter val="S1"/>
        <filter val="S2"/>
        <filter val="S3"/>
        <filter val="S4"/>
        <filter val="S5"/>
        <filter val="S6"/>
        <filter val="S7"/>
        <filter val="S8"/>
        <filter val="Slide_01"/>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Resp_Map_Entries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Subi R</dc:creator>
  <cp:lastModifiedBy>Subi R</cp:lastModifiedBy>
  <dcterms:created xsi:type="dcterms:W3CDTF">2025-10-22T00:19:49Z</dcterms:created>
  <dcterms:modified xsi:type="dcterms:W3CDTF">2025-10-22T00:21:38Z</dcterms:modified>
</cp:coreProperties>
</file>