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Map_Entries" sheetId="1" r:id="rId1"/>
    <sheet name="OPM_Code_Lookup" sheetId="2" r:id="rId2"/>
    <sheet name="OPM_NoDNY_Codes" sheetId="3" r:id="rId3"/>
  </sheets>
  <definedNames>
    <definedName name="OPM_Code_Lookup">OPM_Code_Lookup!$A$1:$D$9</definedName>
  </definedNames>
  <calcPr calcId="124519" fullCalcOnLoad="1"/>
</workbook>
</file>

<file path=xl/sharedStrings.xml><?xml version="1.0" encoding="utf-8"?>
<sst xmlns="http://schemas.openxmlformats.org/spreadsheetml/2006/main" count="73" uniqueCount="69">
  <si>
    <t>Code</t>
  </si>
  <si>
    <t>OPM_Step</t>
  </si>
  <si>
    <t>Title</t>
  </si>
  <si>
    <t>Source_Title</t>
  </si>
  <si>
    <t>match_code_OPM</t>
  </si>
  <si>
    <t>Match_Conf</t>
  </si>
  <si>
    <t>Slide_01</t>
  </si>
  <si>
    <t>M1</t>
  </si>
  <si>
    <t>S1</t>
  </si>
  <si>
    <t>S2</t>
  </si>
  <si>
    <t>S3</t>
  </si>
  <si>
    <t>D1</t>
  </si>
  <si>
    <t>Y1</t>
  </si>
  <si>
    <t>S4</t>
  </si>
  <si>
    <t>S5</t>
  </si>
  <si>
    <t>D2</t>
  </si>
  <si>
    <t>Y2</t>
  </si>
  <si>
    <t>D3</t>
  </si>
  <si>
    <t>Y3</t>
  </si>
  <si>
    <t>S6</t>
  </si>
  <si>
    <t>N3</t>
  </si>
  <si>
    <t>S7</t>
  </si>
  <si>
    <t>N2</t>
  </si>
  <si>
    <t>S8</t>
  </si>
  <si>
    <t>N1</t>
  </si>
  <si>
    <t>Template on for creating  SOP_x000B_PPT option</t>
  </si>
  <si>
    <t>.M1 – Tech Mobile</t>
  </si>
  <si>
    <t>S1. Appointment Accepted – Tech Mobile SRO</t>
  </si>
  <si>
    <t>S2. Travel to Site – Tech Mobile SRO</t>
  </si>
  <si>
    <t>S3. Perform Site Work– Tech Mobile SRO</t>
  </si>
  <si>
    <t>D1. Additional Material Needed – Tech Mobile SRO</t>
  </si>
  <si>
    <t>Y1. Yes Additional Material is needed– Tech Mobile SRO</t>
  </si>
  <si>
    <t>S4. Add Additional material – Tech Mobile SRO</t>
  </si>
  <si>
    <t>S5. Travel from Site – Tech Mobile SRO</t>
  </si>
  <si>
    <t>D2. Is Additional Work – Tech Mobile SRO</t>
  </si>
  <si>
    <t>Y2. Yes  Additional Work is needed – Tech Mobile SRO</t>
  </si>
  <si>
    <t>D3. Additional Work Completed during this visit – Tech Mobile SRO</t>
  </si>
  <si>
    <t>Y3. Additional Work can be completed  – Tech Mobile SRO</t>
  </si>
  <si>
    <t>S6. Create New SRO– Tech Mobile SRO</t>
  </si>
  <si>
    <t>N3. No Additional work not completed this visit – Tech Mobile SRO</t>
  </si>
  <si>
    <t>S7. Change Status to Call Back – Tech Mobile SRO</t>
  </si>
  <si>
    <t>N2 No Additional work is needed– Tech Mobile SRO</t>
  </si>
  <si>
    <t>S8. Change Status to Closed – Tech Mobile SRO</t>
  </si>
  <si>
    <t>N1. No Additional Material Needed – Tech Mobile SRO</t>
  </si>
  <si>
    <t>Step_narr_out_simple</t>
  </si>
  <si>
    <t>P1</t>
  </si>
  <si>
    <t>P2</t>
  </si>
  <si>
    <t>P3</t>
  </si>
  <si>
    <t>P4</t>
  </si>
  <si>
    <t>P5</t>
  </si>
  <si>
    <t>P6</t>
  </si>
  <si>
    <t>P7</t>
  </si>
  <si>
    <t>PM</t>
  </si>
  <si>
    <t>OPM New SRO</t>
  </si>
  <si>
    <t>Travel to Site</t>
  </si>
  <si>
    <t>Perform Site Work</t>
  </si>
  <si>
    <t>Add Material</t>
  </si>
  <si>
    <t>Travel Leaving Site</t>
  </si>
  <si>
    <t>Change Status to Callback</t>
  </si>
  <si>
    <t>Change Status to Closed</t>
  </si>
  <si>
    <t>Tech – Master</t>
  </si>
  <si>
    <t>Log into the ISM Tech Mobile App on a touchscreen tablet device Create a.</t>
  </si>
  <si>
    <t>Choose the appointment you are traveling to Travel to Site Tech Mobile App choose.</t>
  </si>
  <si>
    <t>Clock into operation 10 parts for onsite service Perform Site Work Now choose materials. Then click done Back arrow Clock out of labor Change the work code to.</t>
  </si>
  <si>
    <t>Tap on menu icon go to to Materials in Appointment Details Tap on the. On the Wok Queue screen, choose the appointment from either "Today" or " All". Scroll to bottom of screen to reach materials tap the plus Add Material Upper. Example. "15W40" for oil Search choose the material from the search findings. Tap radio dial Tap Done At the top of the pop up Tap on. For this example of number of oil quarts needed 3. Tap Done At the top of the screen Do not change price or cost.</t>
  </si>
  <si>
    <t>Once on site work is finish, clock into operation 1/ 20 for the drive.</t>
  </si>
  <si>
    <t>Click SRO status on the appointment detail Change Status to Callback Tech Mobile App.</t>
  </si>
  <si>
    <t>Click SRO status on the appointment detail Change Status Closed Tech Mobile App Close.</t>
  </si>
  <si>
    <t>Log into the ISM Tech Mobile App on a touchscreen tablet device Create a. Then click done Back arrow Clock out of labor Change the work code to. On the Wok Queue screen, choose the appointment from either "Today" or " All". Scroll to bottom of screen to reach materials tap the plus Add Material Upper. Example. "15W40" for oil Search choose the material from the search findings. Tap radio dial Tap Done At the top of the pop up Tap on. For this example of number of oil quarts needed 3. Tap Done At the top of the screen Do not change price or cost.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</si>
</sst>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20"/>
  <sheetViews>
    <sheetView tabSelected="1" workbookViewId="0"/>
  </sheetViews>
  <sheetFormatPr defaultRowHeight="15"/>
  <sheetData>
    <row r="1" spans="1:6">
      <c r="A1" s="1" t="s">
        <v>0</v>
      </c>
      <c r="B1" s="1" t="s">
        <v>1</v>
      </c>
      <c r="C1" s="1" t="s">
        <v>2</v>
      </c>
      <c r="D1" s="1" t="s">
        <v>3</v>
      </c>
      <c r="E1" s="1" t="s">
        <v>4</v>
      </c>
      <c r="F1" s="1" t="s">
        <v>5</v>
      </c>
    </row>
    <row r="2" spans="1:6">
      <c r="A2" t="s">
        <v>6</v>
      </c>
      <c r="B2">
        <f>IF($E2="","",IFERROR(VLOOKUP($E2, OPM_Code_Lookup, 2, FALSE), ""))</f>
        <v>0</v>
      </c>
      <c r="C2" t="s">
        <v>25</v>
      </c>
      <c r="D2">
        <f>IF($E2="","",IFERROR(VLOOKUP($E2, OPM_Code_Lookup, 3, FALSE), ""))</f>
        <v>0</v>
      </c>
      <c r="F2">
        <v>42</v>
      </c>
    </row>
    <row r="3" spans="1:6">
      <c r="A3" t="s">
        <v>7</v>
      </c>
      <c r="B3">
        <f>IF($E3="","",IFERROR(VLOOKUP($E3, OPM_Code_Lookup, 2, FALSE), ""))</f>
        <v>0</v>
      </c>
      <c r="C3" t="s">
        <v>26</v>
      </c>
      <c r="D3">
        <f>IF($E3="","",IFERROR(VLOOKUP($E3, OPM_Code_Lookup, 3, FALSE), ""))</f>
        <v>0</v>
      </c>
      <c r="F3">
        <v>64</v>
      </c>
    </row>
    <row r="4" spans="1:6">
      <c r="A4" t="s">
        <v>8</v>
      </c>
      <c r="B4">
        <f>IF($E4="","",IFERROR(VLOOKUP($E4, OPM_Code_Lookup, 2, FALSE), ""))</f>
        <v>0</v>
      </c>
      <c r="C4" t="s">
        <v>27</v>
      </c>
      <c r="D4">
        <f>IF($E4="","",IFERROR(VLOOKUP($E4, OPM_Code_Lookup, 3, FALSE), ""))</f>
        <v>0</v>
      </c>
      <c r="F4">
        <v>35</v>
      </c>
    </row>
    <row r="5" spans="1:6">
      <c r="A5" t="s">
        <v>9</v>
      </c>
      <c r="B5">
        <f>IF($E5="","",IFERROR(VLOOKUP($E5, OPM_Code_Lookup, 2, FALSE), ""))</f>
        <v>0</v>
      </c>
      <c r="C5" t="s">
        <v>28</v>
      </c>
      <c r="D5">
        <f>IF($E5="","",IFERROR(VLOOKUP($E5, OPM_Code_Lookup, 3, FALSE), ""))</f>
        <v>0</v>
      </c>
      <c r="F5">
        <v>64</v>
      </c>
    </row>
    <row r="6" spans="1:6">
      <c r="A6" t="s">
        <v>10</v>
      </c>
      <c r="B6">
        <f>IF($E6="","",IFERROR(VLOOKUP($E6, OPM_Code_Lookup, 2, FALSE), ""))</f>
        <v>0</v>
      </c>
      <c r="C6" t="s">
        <v>29</v>
      </c>
      <c r="D6">
        <f>IF($E6="","",IFERROR(VLOOKUP($E6, OPM_Code_Lookup, 3, FALSE), ""))</f>
        <v>0</v>
      </c>
      <c r="F6">
        <v>68</v>
      </c>
    </row>
    <row r="7" spans="1:6">
      <c r="A7" t="s">
        <v>11</v>
      </c>
      <c r="B7">
        <f>IF($E7="","",IFERROR(VLOOKUP($E7, OPM_Code_Lookup, 2, FALSE), ""))</f>
        <v>0</v>
      </c>
      <c r="C7" t="s">
        <v>30</v>
      </c>
      <c r="D7">
        <f>IF($E7="","",IFERROR(VLOOKUP($E7, OPM_Code_Lookup, 3, FALSE), ""))</f>
        <v>0</v>
      </c>
      <c r="F7">
        <v>45</v>
      </c>
    </row>
    <row r="8" spans="1:6">
      <c r="A8" t="s">
        <v>12</v>
      </c>
      <c r="B8">
        <f>IF($E8="","",IFERROR(VLOOKUP($E8, OPM_Code_Lookup, 2, FALSE), ""))</f>
        <v>0</v>
      </c>
      <c r="C8" t="s">
        <v>31</v>
      </c>
      <c r="D8">
        <f>IF($E8="","",IFERROR(VLOOKUP($E8, OPM_Code_Lookup, 3, FALSE), ""))</f>
        <v>0</v>
      </c>
      <c r="F8">
        <v>40</v>
      </c>
    </row>
    <row r="9" spans="1:6">
      <c r="A9" t="s">
        <v>13</v>
      </c>
      <c r="B9">
        <f>IF($E9="","",IFERROR(VLOOKUP($E9, OPM_Code_Lookup, 2, FALSE), ""))</f>
        <v>0</v>
      </c>
      <c r="C9" t="s">
        <v>32</v>
      </c>
      <c r="D9">
        <f>IF($E9="","",IFERROR(VLOOKUP($E9, OPM_Code_Lookup, 3, FALSE), ""))</f>
        <v>0</v>
      </c>
      <c r="F9">
        <v>48</v>
      </c>
    </row>
    <row r="10" spans="1:6">
      <c r="A10" t="s">
        <v>14</v>
      </c>
      <c r="B10">
        <f>IF($E10="","",IFERROR(VLOOKUP($E10, OPM_Code_Lookup, 2, FALSE), ""))</f>
        <v>0</v>
      </c>
      <c r="C10" t="s">
        <v>33</v>
      </c>
      <c r="D10">
        <f>IF($E10="","",IFERROR(VLOOKUP($E10, OPM_Code_Lookup, 3, FALSE), ""))</f>
        <v>0</v>
      </c>
      <c r="F10">
        <v>57</v>
      </c>
    </row>
    <row r="11" spans="1:6">
      <c r="A11" t="s">
        <v>15</v>
      </c>
      <c r="B11">
        <f>IF($E11="","",IFERROR(VLOOKUP($E11, OPM_Code_Lookup, 2, FALSE), ""))</f>
        <v>0</v>
      </c>
      <c r="C11" t="s">
        <v>34</v>
      </c>
      <c r="D11">
        <f>IF($E11="","",IFERROR(VLOOKUP($E11, OPM_Code_Lookup, 3, FALSE), ""))</f>
        <v>0</v>
      </c>
      <c r="F11">
        <v>36</v>
      </c>
    </row>
    <row r="12" spans="1:6">
      <c r="A12" t="s">
        <v>16</v>
      </c>
      <c r="B12">
        <f>IF($E12="","",IFERROR(VLOOKUP($E12, OPM_Code_Lookup, 2, FALSE), ""))</f>
        <v>0</v>
      </c>
      <c r="C12" t="s">
        <v>35</v>
      </c>
      <c r="D12">
        <f>IF($E12="","",IFERROR(VLOOKUP($E12, OPM_Code_Lookup, 3, FALSE), ""))</f>
        <v>0</v>
      </c>
      <c r="F12">
        <v>30</v>
      </c>
    </row>
    <row r="13" spans="1:6">
      <c r="A13" t="s">
        <v>17</v>
      </c>
      <c r="B13">
        <f>IF($E13="","",IFERROR(VLOOKUP($E13, OPM_Code_Lookup, 2, FALSE), ""))</f>
        <v>0</v>
      </c>
      <c r="C13" t="s">
        <v>36</v>
      </c>
      <c r="D13">
        <f>IF($E13="","",IFERROR(VLOOKUP($E13, OPM_Code_Lookup, 3, FALSE), ""))</f>
        <v>0</v>
      </c>
      <c r="F13">
        <v>34</v>
      </c>
    </row>
    <row r="14" spans="1:6">
      <c r="A14" t="s">
        <v>18</v>
      </c>
      <c r="B14">
        <f>IF($E14="","",IFERROR(VLOOKUP($E14, OPM_Code_Lookup, 2, FALSE), ""))</f>
        <v>0</v>
      </c>
      <c r="C14" t="s">
        <v>37</v>
      </c>
      <c r="D14">
        <f>IF($E14="","",IFERROR(VLOOKUP($E14, OPM_Code_Lookup, 3, FALSE), ""))</f>
        <v>0</v>
      </c>
      <c r="F14">
        <v>28</v>
      </c>
    </row>
    <row r="15" spans="1:6">
      <c r="A15" t="s">
        <v>19</v>
      </c>
      <c r="B15">
        <f>IF($E15="","",IFERROR(VLOOKUP($E15, OPM_Code_Lookup, 2, FALSE), ""))</f>
        <v>0</v>
      </c>
      <c r="C15" t="s">
        <v>38</v>
      </c>
      <c r="D15">
        <f>IF($E15="","",IFERROR(VLOOKUP($E15, OPM_Code_Lookup, 3, FALSE), ""))</f>
        <v>0</v>
      </c>
      <c r="F15">
        <v>40</v>
      </c>
    </row>
    <row r="16" spans="1:6">
      <c r="A16" t="s">
        <v>20</v>
      </c>
      <c r="B16">
        <f>IF($E16="","",IFERROR(VLOOKUP($E16, OPM_Code_Lookup, 2, FALSE), ""))</f>
        <v>0</v>
      </c>
      <c r="C16" t="s">
        <v>39</v>
      </c>
      <c r="D16">
        <f>IF($E16="","",IFERROR(VLOOKUP($E16, OPM_Code_Lookup, 3, FALSE), ""))</f>
        <v>0</v>
      </c>
      <c r="F16">
        <v>29</v>
      </c>
    </row>
    <row r="17" spans="1:6">
      <c r="A17" t="s">
        <v>21</v>
      </c>
      <c r="B17">
        <f>IF($E17="","",IFERROR(VLOOKUP($E17, OPM_Code_Lookup, 2, FALSE), ""))</f>
        <v>0</v>
      </c>
      <c r="C17" t="s">
        <v>40</v>
      </c>
      <c r="D17">
        <f>IF($E17="","",IFERROR(VLOOKUP($E17, OPM_Code_Lookup, 3, FALSE), ""))</f>
        <v>0</v>
      </c>
      <c r="F17">
        <v>75</v>
      </c>
    </row>
    <row r="18" spans="1:6">
      <c r="A18" t="s">
        <v>22</v>
      </c>
      <c r="B18">
        <f>IF($E18="","",IFERROR(VLOOKUP($E18, OPM_Code_Lookup, 2, FALSE), ""))</f>
        <v>0</v>
      </c>
      <c r="C18" t="s">
        <v>41</v>
      </c>
      <c r="D18">
        <f>IF($E18="","",IFERROR(VLOOKUP($E18, OPM_Code_Lookup, 3, FALSE), ""))</f>
        <v>0</v>
      </c>
      <c r="F18">
        <v>30</v>
      </c>
    </row>
    <row r="19" spans="1:6">
      <c r="A19" t="s">
        <v>23</v>
      </c>
      <c r="B19">
        <f>IF($E19="","",IFERROR(VLOOKUP($E19, OPM_Code_Lookup, 2, FALSE), ""))</f>
        <v>0</v>
      </c>
      <c r="C19" t="s">
        <v>42</v>
      </c>
      <c r="D19">
        <f>IF($E19="","",IFERROR(VLOOKUP($E19, OPM_Code_Lookup, 3, FALSE), ""))</f>
        <v>0</v>
      </c>
      <c r="F19">
        <v>75</v>
      </c>
    </row>
    <row r="20" spans="1:6">
      <c r="A20" t="s">
        <v>24</v>
      </c>
      <c r="B20">
        <f>IF($E20="","",IFERROR(VLOOKUP($E20, OPM_Code_Lookup, 2, FALSE), ""))</f>
        <v>0</v>
      </c>
      <c r="C20" t="s">
        <v>43</v>
      </c>
      <c r="D20">
        <f>IF($E20="","",IFERROR(VLOOKUP($E20, OPM_Code_Lookup, 3, FALSE), ""))</f>
        <v>0</v>
      </c>
      <c r="F20">
        <v>43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D9"/>
  <sheetViews>
    <sheetView workbookViewId="0"/>
  </sheetViews>
  <sheetFormatPr defaultRowHeight="15"/>
  <sheetData>
    <row r="1" spans="1:4">
      <c r="A1" s="1" t="s">
        <v>0</v>
      </c>
      <c r="B1" s="1" t="s">
        <v>1</v>
      </c>
      <c r="C1" s="1" t="s">
        <v>3</v>
      </c>
      <c r="D1" s="1" t="s">
        <v>44</v>
      </c>
    </row>
    <row r="2" spans="1:4">
      <c r="B2" t="s">
        <v>45</v>
      </c>
      <c r="C2" t="s">
        <v>53</v>
      </c>
      <c r="D2" t="s">
        <v>61</v>
      </c>
    </row>
    <row r="3" spans="1:4">
      <c r="B3" t="s">
        <v>46</v>
      </c>
      <c r="C3" t="s">
        <v>54</v>
      </c>
      <c r="D3" t="s">
        <v>62</v>
      </c>
    </row>
    <row r="4" spans="1:4">
      <c r="B4" t="s">
        <v>47</v>
      </c>
      <c r="C4" t="s">
        <v>55</v>
      </c>
      <c r="D4" t="s">
        <v>63</v>
      </c>
    </row>
    <row r="5" spans="1:4">
      <c r="B5" t="s">
        <v>48</v>
      </c>
      <c r="C5" t="s">
        <v>56</v>
      </c>
      <c r="D5" t="s">
        <v>64</v>
      </c>
    </row>
    <row r="6" spans="1:4">
      <c r="B6" t="s">
        <v>49</v>
      </c>
      <c r="C6" t="s">
        <v>57</v>
      </c>
      <c r="D6" t="s">
        <v>65</v>
      </c>
    </row>
    <row r="7" spans="1:4">
      <c r="B7" t="s">
        <v>50</v>
      </c>
      <c r="C7" t="s">
        <v>58</v>
      </c>
      <c r="D7" t="s">
        <v>66</v>
      </c>
    </row>
    <row r="8" spans="1:4">
      <c r="B8" t="s">
        <v>51</v>
      </c>
      <c r="C8" t="s">
        <v>59</v>
      </c>
      <c r="D8" t="s">
        <v>67</v>
      </c>
    </row>
    <row r="9" spans="1:4">
      <c r="B9" t="s">
        <v>52</v>
      </c>
      <c r="C9" t="s">
        <v>60</v>
      </c>
      <c r="D9" t="s">
        <v>68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5"/>
  <sheetData>
    <row r="1" spans="1:1">
      <c r="A1" s="1" t="s">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Map_Entries</vt:lpstr>
      <vt:lpstr>OPM_Code_Lookup</vt:lpstr>
      <vt:lpstr>OPM_NoDNY_Codes</vt:lpstr>
      <vt:lpstr>OPM_Code_Lookup</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2025-10-22T00:24:02Z</dcterms:created>
  <dcterms:modified xsi:type="dcterms:W3CDTF">2025-10-22T00:24:02Z</dcterms:modified>
</cp:coreProperties>
</file>